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ytningjake\Desktop\portfolio\02_Systems_Architecture_Dev\MetroStay_Technopreneurship\Business_Strategy\"/>
    </mc:Choice>
  </mc:AlternateContent>
  <xr:revisionPtr revIDLastSave="0" documentId="13_ncr:1_{13A8B948-DC58-4B37-9EBC-DDEAB6082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ital Outlay" sheetId="1" r:id="rId1"/>
    <sheet name="Year 1 - 3 Financial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51" i="1"/>
  <c r="I46" i="1"/>
  <c r="I40" i="1"/>
  <c r="I34" i="1"/>
  <c r="I27" i="1"/>
  <c r="E27" i="1"/>
  <c r="E34" i="1" s="1"/>
  <c r="E40" i="1" s="1"/>
  <c r="E46" i="1" s="1"/>
  <c r="E49" i="1" s="1"/>
  <c r="AF77" i="2"/>
  <c r="AG68" i="2"/>
  <c r="U64" i="2"/>
  <c r="I64" i="2"/>
  <c r="AG39" i="2"/>
  <c r="U39" i="2"/>
  <c r="I39" i="2"/>
  <c r="AG33" i="2"/>
  <c r="U33" i="2"/>
  <c r="I33" i="2"/>
  <c r="R31" i="2"/>
  <c r="AD31" i="2" s="1"/>
  <c r="R30" i="2"/>
  <c r="AD30" i="2" s="1"/>
  <c r="AG29" i="2"/>
  <c r="U29" i="2"/>
  <c r="I29" i="2"/>
  <c r="AK24" i="2"/>
  <c r="Y24" i="2"/>
  <c r="M24" i="2"/>
  <c r="AK23" i="2"/>
  <c r="Y23" i="2"/>
  <c r="M23" i="2"/>
  <c r="AK22" i="2"/>
  <c r="Y22" i="2"/>
  <c r="M22" i="2"/>
  <c r="AK19" i="2"/>
  <c r="Y19" i="2"/>
  <c r="M19" i="2"/>
  <c r="AK18" i="2"/>
  <c r="AI18" i="2"/>
  <c r="W18" i="2"/>
  <c r="Y18" i="2" s="1"/>
  <c r="K18" i="2"/>
  <c r="M18" i="2" s="1"/>
  <c r="AK17" i="2"/>
  <c r="AK25" i="2" s="1"/>
  <c r="AG35" i="2" s="1"/>
  <c r="AF72" i="2" s="1"/>
  <c r="AI17" i="2"/>
  <c r="W17" i="2"/>
  <c r="Y17" i="2" s="1"/>
  <c r="K17" i="2"/>
  <c r="M17" i="2" s="1"/>
  <c r="I16" i="1"/>
  <c r="I20" i="1" s="1"/>
  <c r="M25" i="2" l="1"/>
  <c r="I35" i="2" s="1"/>
  <c r="H68" i="2" s="1"/>
  <c r="H72" i="2" s="1"/>
  <c r="Y25" i="2"/>
  <c r="U35" i="2" s="1"/>
  <c r="T68" i="2" s="1"/>
  <c r="T71" i="2" s="1"/>
  <c r="T73" i="2" s="1"/>
</calcChain>
</file>

<file path=xl/sharedStrings.xml><?xml version="1.0" encoding="utf-8"?>
<sst xmlns="http://schemas.openxmlformats.org/spreadsheetml/2006/main" count="264" uniqueCount="163">
  <si>
    <t>MetroStay Year 1 Capital Outlay</t>
  </si>
  <si>
    <t>Payment System Setup</t>
  </si>
  <si>
    <t>Item</t>
  </si>
  <si>
    <t>Specifics</t>
  </si>
  <si>
    <t>Cost</t>
  </si>
  <si>
    <t>GCash Business Onboarding</t>
  </si>
  <si>
    <t>Merchant account</t>
  </si>
  <si>
    <t xml:space="preserve">PayMaya Enterprise API	</t>
  </si>
  <si>
    <t xml:space="preserve">Integration &amp; docs	</t>
  </si>
  <si>
    <t xml:space="preserve">Payment Security Audit	</t>
  </si>
  <si>
    <t xml:space="preserve">Focused on e-wallets	</t>
  </si>
  <si>
    <t xml:space="preserve">QR Code Materials	</t>
  </si>
  <si>
    <t>Printed for landlords</t>
  </si>
  <si>
    <t>Tech Costs</t>
  </si>
  <si>
    <t>Google Play Developer</t>
  </si>
  <si>
    <t>Firebase Hosting</t>
  </si>
  <si>
    <t>GCash SDK License</t>
  </si>
  <si>
    <t>Security Audit</t>
  </si>
  <si>
    <t>Legal/Compliance</t>
  </si>
  <si>
    <t>SEC Registration</t>
  </si>
  <si>
    <t>BIR + Mayor’s Permit</t>
  </si>
  <si>
    <t>GCash AML Compliance</t>
  </si>
  <si>
    <t>Notary</t>
  </si>
  <si>
    <t>Operations</t>
  </si>
  <si>
    <t>Digital Marketing</t>
  </si>
  <si>
    <t>Coworking</t>
  </si>
  <si>
    <t>Office Supplies</t>
  </si>
  <si>
    <t>Team Costs</t>
  </si>
  <si>
    <t>Founder Stipends</t>
  </si>
  <si>
    <t>Mandatory Benefits</t>
  </si>
  <si>
    <t>Accounting</t>
  </si>
  <si>
    <t>Contingency</t>
  </si>
  <si>
    <t>Total Capital Outlay</t>
  </si>
  <si>
    <t xml:space="preserve">                                                                                                                                                                             </t>
  </si>
  <si>
    <t>Key Assumptions:</t>
  </si>
  <si>
    <t xml:space="preserve">     </t>
  </si>
  <si>
    <t>Revenue Growth:</t>
  </si>
  <si>
    <t>Year 1 (Launch Phase)</t>
  </si>
  <si>
    <t>Year 2 (Growth Phase)</t>
  </si>
  <si>
    <t>Year 3 (Scale Phase)</t>
  </si>
  <si>
    <t>Year 1: 500 bookings → Year 3: 3,000 bookings</t>
  </si>
  <si>
    <t>Revenue:</t>
  </si>
  <si>
    <t>Expense Inflation: 5% annually</t>
  </si>
  <si>
    <t>Stream</t>
  </si>
  <si>
    <t>Average Rental (Php)</t>
  </si>
  <si>
    <t>Booking</t>
  </si>
  <si>
    <t>Commision</t>
  </si>
  <si>
    <t>Amount</t>
  </si>
  <si>
    <t>Subscription( Months)</t>
  </si>
  <si>
    <t>Total (Php)</t>
  </si>
  <si>
    <t>Standard Rentals</t>
  </si>
  <si>
    <t>Taxation:</t>
  </si>
  <si>
    <t>Student Rentals</t>
  </si>
  <si>
    <t>Premium Listings</t>
  </si>
  <si>
    <t>20% corporate tax (CREATE Law for SMEs)</t>
  </si>
  <si>
    <t>12% VAT applied in Year 3 (revenue &gt;₱3M)</t>
  </si>
  <si>
    <t>Add-Ons:</t>
  </si>
  <si>
    <t>Moving Services</t>
  </si>
  <si>
    <t>Renters' Insurance</t>
  </si>
  <si>
    <t>*note</t>
  </si>
  <si>
    <t>Cleaning Services</t>
  </si>
  <si>
    <t>Utilities Package</t>
  </si>
  <si>
    <t>Utility Package</t>
  </si>
  <si>
    <t>Total Revenue</t>
  </si>
  <si>
    <t>Partner with MERALCO, Maynilad, and ISPs for bulk rates</t>
  </si>
  <si>
    <t>Tenants pay one bill through MetroStay (₱2,500-₱3,000/month)</t>
  </si>
  <si>
    <t>Cost of Goods Sold (COGS)</t>
  </si>
  <si>
    <t>MetroStay earns 7% markup</t>
  </si>
  <si>
    <t>Calculation</t>
  </si>
  <si>
    <t>Benefits:</t>
  </si>
  <si>
    <t>GCash Fees</t>
  </si>
  <si>
    <t xml:space="preserve">1.5% of revenue	</t>
  </si>
  <si>
    <t xml:space="preserve">1.25% of revenue*	</t>
  </si>
  <si>
    <t>For Tenants: Simplified payments</t>
  </si>
  <si>
    <t>PayMaya Fees</t>
  </si>
  <si>
    <t>1.75% of revenue</t>
  </si>
  <si>
    <t xml:space="preserve">1.75% of revenue	</t>
  </si>
  <si>
    <t xml:space="preserve">1.5% of revenue*	</t>
  </si>
  <si>
    <t>For Landlords: No utility collection hassle</t>
  </si>
  <si>
    <t xml:space="preserve">Blaze Plan	</t>
  </si>
  <si>
    <t>Scaled Plan</t>
  </si>
  <si>
    <t xml:space="preserve">        </t>
  </si>
  <si>
    <t xml:space="preserve">Enterprise Plan (200k MAUs)	</t>
  </si>
  <si>
    <t>For MetroStay: Recurring revenue stream</t>
  </si>
  <si>
    <t>Total COGS</t>
  </si>
  <si>
    <t>Gross Profit</t>
  </si>
  <si>
    <t>(94.5% margin)</t>
  </si>
  <si>
    <t>(96.3% margin)</t>
  </si>
  <si>
    <t>(97.0% margin)</t>
  </si>
  <si>
    <t>Operating Expenses</t>
  </si>
  <si>
    <t>Expense Category</t>
  </si>
  <si>
    <t>Detail</t>
  </si>
  <si>
    <t>One-time fee</t>
  </si>
  <si>
    <t xml:space="preserve">Firebase Hosting	</t>
  </si>
  <si>
    <t xml:space="preserve">Scaled to Blaze Plan (50k MAUs)	</t>
  </si>
  <si>
    <t xml:space="preserve">App Optimization	</t>
  </si>
  <si>
    <t xml:space="preserve">New features, UI upgrades	</t>
  </si>
  <si>
    <t xml:space="preserve">GCash/PayMaya compliance	</t>
  </si>
  <si>
    <t xml:space="preserve">App Maintenance	</t>
  </si>
  <si>
    <t xml:space="preserve">Bug fixes, feature updates	</t>
  </si>
  <si>
    <t xml:space="preserve">Already in COGS	</t>
  </si>
  <si>
    <t>GCash licensing</t>
  </si>
  <si>
    <t>Annual penetration testing</t>
  </si>
  <si>
    <t>FB/Google Ads</t>
  </si>
  <si>
    <t xml:space="preserve">FB/Google Ads (₱10k/month)	</t>
  </si>
  <si>
    <t>Marketing</t>
  </si>
  <si>
    <t>Coworking Space</t>
  </si>
  <si>
    <t>₱5k/month × 12</t>
  </si>
  <si>
    <t xml:space="preserve">Influencer Collabs	</t>
  </si>
  <si>
    <t xml:space="preserve">Student micro-influencers	</t>
  </si>
  <si>
    <t>Performance Ads</t>
  </si>
  <si>
    <t>FB/Google/TikTok (₱20k/month)</t>
  </si>
  <si>
    <t>Internet, mobile data, etc.</t>
  </si>
  <si>
    <t>Office Rent</t>
  </si>
  <si>
    <t>Dedicated space (₱6k/month)</t>
  </si>
  <si>
    <t>Campus Activations</t>
  </si>
  <si>
    <t>On-ground events at 5 universities</t>
  </si>
  <si>
    <t>Customer Support</t>
  </si>
  <si>
    <t>Zendesk subscription</t>
  </si>
  <si>
    <t>Referral Program</t>
  </si>
  <si>
    <t>Tenant incentives</t>
  </si>
  <si>
    <t xml:space="preserve">Internet, utilities, etc.	</t>
  </si>
  <si>
    <t>Corporation setup</t>
  </si>
  <si>
    <t>BIR + Mayor's Permit</t>
  </si>
  <si>
    <t>Initial fees</t>
  </si>
  <si>
    <t>Professional Services</t>
  </si>
  <si>
    <t>₱15k/month (larger space)</t>
  </si>
  <si>
    <t>Notary Fees</t>
  </si>
  <si>
    <t>Document processing</t>
  </si>
  <si>
    <t xml:space="preserve">Monthly bookkeeping + tax filing        </t>
  </si>
  <si>
    <t>Utilities</t>
  </si>
  <si>
    <t>Electricity, internet, water</t>
  </si>
  <si>
    <t>G-cash processing</t>
  </si>
  <si>
    <t xml:space="preserve">Legal Retainer	</t>
  </si>
  <si>
    <t xml:space="preserve">Contract reviews	</t>
  </si>
  <si>
    <t>Freshdesk subscription + tools</t>
  </si>
  <si>
    <t>₱5k/month × 3 founders</t>
  </si>
  <si>
    <t xml:space="preserve">₱10k/month × 3 founders	</t>
  </si>
  <si>
    <t>SSS/PhilHealth/Pag-IBIG</t>
  </si>
  <si>
    <t>Legal Counsel</t>
  </si>
  <si>
    <t>Contract reviews + compliance</t>
  </si>
  <si>
    <t>Accounting Services</t>
  </si>
  <si>
    <t>Bookkeeping (₱1.5k/month)</t>
  </si>
  <si>
    <t xml:space="preserve">Part-Time Support	</t>
  </si>
  <si>
    <t xml:space="preserve">Customer service (₱5k/month)	</t>
  </si>
  <si>
    <t>Buffer for app emergencies</t>
  </si>
  <si>
    <t>Founder Salaries</t>
  </si>
  <si>
    <t>₱20k/month × 3 founders</t>
  </si>
  <si>
    <t>Total Operating Expenses</t>
  </si>
  <si>
    <t>Full-Time Employees</t>
  </si>
  <si>
    <t>2 ops staff (₱15k/month each)</t>
  </si>
  <si>
    <t>Employee Benefits</t>
  </si>
  <si>
    <t>HMO, 13th month, bonuses</t>
  </si>
  <si>
    <t>Profit % Tax Calculations</t>
  </si>
  <si>
    <t>Unexpected costs buffer</t>
  </si>
  <si>
    <t>Operating Profit</t>
  </si>
  <si>
    <t>Taxable Income</t>
  </si>
  <si>
    <t>Corporate Tax (20%)</t>
  </si>
  <si>
    <t xml:space="preserve">Operating Profit	</t>
  </si>
  <si>
    <t>Net Loss After Tax</t>
  </si>
  <si>
    <t>Net Profit</t>
  </si>
  <si>
    <t>VAT (12%)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</si>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</sst>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]#,##0.00"/>
  </numFmts>
  <fonts count="24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rgb="FF404040"/>
      <name val="Quote-cjk-patch"/>
    </font>
    <font>
      <b/>
      <sz val="12"/>
      <color theme="1"/>
      <name val="Arial"/>
      <scheme val="minor"/>
    </font>
    <font>
      <b/>
      <sz val="12"/>
      <color rgb="FF404040"/>
      <name val="Arial"/>
    </font>
    <font>
      <sz val="12"/>
      <color rgb="FF404040"/>
      <name val="Quote-cjk-patch"/>
    </font>
    <font>
      <sz val="12"/>
      <color rgb="FF404040"/>
      <name val="Arial"/>
    </font>
    <font>
      <b/>
      <sz val="13"/>
      <color theme="1"/>
      <name val="Arial"/>
      <scheme val="minor"/>
    </font>
    <font>
      <sz val="11"/>
      <color theme="1"/>
      <name val="Arial"/>
      <scheme val="minor"/>
    </font>
    <font>
      <sz val="11"/>
      <color rgb="FF40404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rgb="FF404040"/>
      <name val="Quote-cjk-patch"/>
    </font>
    <font>
      <sz val="11"/>
      <color rgb="FF404040"/>
      <name val="Arial"/>
    </font>
    <font>
      <sz val="12"/>
      <color rgb="FF494949"/>
      <name val="Menlo"/>
    </font>
    <font>
      <b/>
      <sz val="11"/>
      <color rgb="FF404040"/>
      <name val="Quote-cjk-patch"/>
    </font>
    <font>
      <b/>
      <sz val="11"/>
      <color rgb="FF404040"/>
      <name val="Arial"/>
    </font>
    <font>
      <sz val="11"/>
      <color rgb="FF000000"/>
      <name val="Arial"/>
      <scheme val="minor"/>
    </font>
    <font>
      <b/>
      <sz val="11"/>
      <color rgb="FF980000"/>
      <name val="Arial"/>
      <scheme val="minor"/>
    </font>
    <font>
      <b/>
      <sz val="12"/>
      <color rgb="FF38761D"/>
      <name val="Arial"/>
      <scheme val="minor"/>
    </font>
    <font>
      <sz val="12"/>
      <color rgb="FF404040"/>
      <name val="Consolas"/>
      <family val="3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sz val="12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/>
      <diagonal/>
    </border>
    <border>
      <left style="medium">
        <color rgb="FF434343"/>
      </left>
      <right/>
      <top style="medium">
        <color rgb="FF434343"/>
      </top>
      <bottom/>
      <diagonal/>
    </border>
    <border>
      <left/>
      <right/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 style="medium">
        <color rgb="FF434343"/>
      </left>
      <right style="medium">
        <color rgb="FF434343"/>
      </right>
      <top/>
      <bottom/>
      <diagonal/>
    </border>
    <border>
      <left style="medium">
        <color rgb="FF434343"/>
      </left>
      <right/>
      <top/>
      <bottom/>
      <diagonal/>
    </border>
    <border>
      <left/>
      <right style="medium">
        <color rgb="FF434343"/>
      </right>
      <top/>
      <bottom/>
      <diagonal/>
    </border>
    <border>
      <left style="medium">
        <color rgb="FF434343"/>
      </left>
      <right style="medium">
        <color rgb="FF434343"/>
      </right>
      <top/>
      <bottom style="medium">
        <color rgb="FF43434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434343"/>
      </left>
      <right/>
      <top/>
      <bottom style="medium">
        <color rgb="FF434343"/>
      </bottom>
      <diagonal/>
    </border>
    <border>
      <left/>
      <right/>
      <top/>
      <bottom style="medium">
        <color rgb="FF434343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/>
      <right/>
      <top style="medium">
        <color rgb="FF434343"/>
      </top>
      <bottom style="double">
        <color rgb="FF43434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left"/>
    </xf>
    <xf numFmtId="0" fontId="8" fillId="0" borderId="0" xfId="0" applyFont="1"/>
    <xf numFmtId="0" fontId="9" fillId="2" borderId="0" xfId="0" applyFont="1" applyFill="1"/>
    <xf numFmtId="0" fontId="9" fillId="2" borderId="2" xfId="0" applyFont="1" applyFill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9" fillId="2" borderId="6" xfId="0" applyFont="1" applyFill="1" applyBorder="1"/>
    <xf numFmtId="0" fontId="10" fillId="0" borderId="0" xfId="0" applyFont="1"/>
    <xf numFmtId="0" fontId="10" fillId="0" borderId="7" xfId="0" applyFont="1" applyBorder="1"/>
    <xf numFmtId="0" fontId="8" fillId="0" borderId="8" xfId="0" applyFont="1" applyBorder="1"/>
    <xf numFmtId="0" fontId="8" fillId="0" borderId="7" xfId="0" applyFont="1" applyBorder="1"/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1" fillId="0" borderId="7" xfId="0" applyFont="1" applyBorder="1"/>
    <xf numFmtId="164" fontId="8" fillId="0" borderId="0" xfId="0" applyNumberFormat="1" applyFont="1"/>
    <xf numFmtId="9" fontId="8" fillId="0" borderId="0" xfId="0" applyNumberFormat="1" applyFont="1"/>
    <xf numFmtId="3" fontId="8" fillId="0" borderId="0" xfId="0" applyNumberFormat="1" applyFont="1"/>
    <xf numFmtId="164" fontId="8" fillId="0" borderId="8" xfId="0" applyNumberFormat="1" applyFont="1" applyBorder="1"/>
    <xf numFmtId="0" fontId="9" fillId="2" borderId="1" xfId="0" applyFont="1" applyFill="1" applyBorder="1"/>
    <xf numFmtId="3" fontId="9" fillId="2" borderId="1" xfId="0" applyNumberFormat="1" applyFont="1" applyFill="1" applyBorder="1"/>
    <xf numFmtId="0" fontId="9" fillId="2" borderId="7" xfId="0" applyFont="1" applyFill="1" applyBorder="1"/>
    <xf numFmtId="0" fontId="9" fillId="2" borderId="9" xfId="0" applyFont="1" applyFill="1" applyBorder="1"/>
    <xf numFmtId="0" fontId="12" fillId="2" borderId="0" xfId="0" applyFont="1" applyFill="1"/>
    <xf numFmtId="0" fontId="13" fillId="2" borderId="0" xfId="0" applyFont="1" applyFill="1"/>
    <xf numFmtId="0" fontId="10" fillId="0" borderId="10" xfId="0" applyFont="1" applyBorder="1"/>
    <xf numFmtId="164" fontId="10" fillId="0" borderId="10" xfId="0" applyNumberFormat="1" applyFont="1" applyBorder="1"/>
    <xf numFmtId="0" fontId="10" fillId="0" borderId="11" xfId="0" applyFont="1" applyBorder="1"/>
    <xf numFmtId="164" fontId="10" fillId="0" borderId="11" xfId="0" applyNumberFormat="1" applyFont="1" applyBorder="1"/>
    <xf numFmtId="0" fontId="10" fillId="0" borderId="8" xfId="0" applyFont="1" applyBorder="1"/>
    <xf numFmtId="0" fontId="5" fillId="2" borderId="0" xfId="0" applyFont="1" applyFill="1"/>
    <xf numFmtId="0" fontId="14" fillId="0" borderId="0" xfId="0" applyFont="1"/>
    <xf numFmtId="0" fontId="13" fillId="2" borderId="1" xfId="0" applyFont="1" applyFill="1" applyBorder="1"/>
    <xf numFmtId="0" fontId="12" fillId="2" borderId="1" xfId="0" applyFont="1" applyFill="1" applyBorder="1"/>
    <xf numFmtId="164" fontId="10" fillId="0" borderId="0" xfId="0" applyNumberFormat="1" applyFont="1"/>
    <xf numFmtId="164" fontId="13" fillId="2" borderId="1" xfId="0" applyNumberFormat="1" applyFont="1" applyFill="1" applyBorder="1"/>
    <xf numFmtId="0" fontId="15" fillId="2" borderId="1" xfId="0" applyFont="1" applyFill="1" applyBorder="1"/>
    <xf numFmtId="164" fontId="12" fillId="2" borderId="1" xfId="0" applyNumberFormat="1" applyFont="1" applyFill="1" applyBorder="1"/>
    <xf numFmtId="164" fontId="12" fillId="2" borderId="0" xfId="0" applyNumberFormat="1" applyFont="1" applyFill="1"/>
    <xf numFmtId="164" fontId="13" fillId="2" borderId="0" xfId="0" applyNumberFormat="1" applyFont="1" applyFill="1"/>
    <xf numFmtId="164" fontId="5" fillId="2" borderId="0" xfId="0" applyNumberFormat="1" applyFont="1" applyFill="1"/>
    <xf numFmtId="0" fontId="16" fillId="2" borderId="1" xfId="0" applyFont="1" applyFill="1" applyBorder="1"/>
    <xf numFmtId="0" fontId="15" fillId="2" borderId="0" xfId="0" applyFont="1" applyFill="1"/>
    <xf numFmtId="0" fontId="4" fillId="2" borderId="10" xfId="0" applyFont="1" applyFill="1" applyBorder="1"/>
    <xf numFmtId="0" fontId="4" fillId="2" borderId="11" xfId="0" applyFont="1" applyFill="1" applyBorder="1"/>
    <xf numFmtId="164" fontId="17" fillId="0" borderId="0" xfId="0" applyNumberFormat="1" applyFont="1"/>
    <xf numFmtId="0" fontId="10" fillId="0" borderId="12" xfId="0" applyFont="1" applyBorder="1"/>
    <xf numFmtId="0" fontId="8" fillId="0" borderId="12" xfId="0" applyFont="1" applyBorder="1"/>
    <xf numFmtId="164" fontId="18" fillId="0" borderId="12" xfId="0" applyNumberFormat="1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3" fillId="0" borderId="16" xfId="0" applyFont="1" applyBorder="1"/>
    <xf numFmtId="0" fontId="11" fillId="0" borderId="16" xfId="0" applyFont="1" applyBorder="1"/>
    <xf numFmtId="164" fontId="19" fillId="0" borderId="16" xfId="0" applyNumberFormat="1" applyFont="1" applyBorder="1"/>
    <xf numFmtId="0" fontId="4" fillId="2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164" fontId="20" fillId="2" borderId="0" xfId="0" applyNumberFormat="1" applyFont="1" applyFill="1" applyBorder="1" applyAlignment="1">
      <alignment vertical="center"/>
    </xf>
    <xf numFmtId="164" fontId="22" fillId="0" borderId="0" xfId="0" applyNumberFormat="1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164" fontId="21" fillId="0" borderId="23" xfId="0" applyNumberFormat="1" applyFont="1" applyBorder="1" applyAlignment="1">
      <alignment vertical="center"/>
    </xf>
    <xf numFmtId="164" fontId="21" fillId="0" borderId="25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showGridLines="0" tabSelected="1" topLeftCell="A7" zoomScale="85" zoomScaleNormal="85" workbookViewId="0">
      <selection activeCell="Q27" sqref="Q27"/>
    </sheetView>
  </sheetViews>
  <sheetFormatPr defaultColWidth="12.5703125" defaultRowHeight="15.75" customHeight="1"/>
  <cols>
    <col min="3" max="3" width="2.85546875" customWidth="1"/>
    <col min="4" max="4" width="6.85546875" customWidth="1"/>
    <col min="5" max="5" width="14.42578125" customWidth="1"/>
    <col min="7" max="7" width="9.42578125" customWidth="1"/>
    <col min="8" max="8" width="26.7109375" customWidth="1"/>
    <col min="9" max="9" width="16.140625" bestFit="1" customWidth="1"/>
    <col min="10" max="10" width="2.425781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.25" customHeight="1">
      <c r="A9" s="1"/>
      <c r="B9" s="1"/>
      <c r="C9" s="82"/>
      <c r="D9" s="83"/>
      <c r="E9" s="83"/>
      <c r="F9" s="83"/>
      <c r="G9" s="83"/>
      <c r="H9" s="83"/>
      <c r="I9" s="83"/>
      <c r="J9" s="8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70"/>
      <c r="D10" s="67" t="s">
        <v>0</v>
      </c>
      <c r="E10" s="69"/>
      <c r="F10" s="69"/>
      <c r="G10" s="62"/>
      <c r="H10" s="62"/>
      <c r="I10" s="62"/>
      <c r="J10" s="7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.5" customHeight="1">
      <c r="A11" s="1"/>
      <c r="B11" s="1"/>
      <c r="C11" s="70"/>
      <c r="D11" s="62"/>
      <c r="E11" s="62"/>
      <c r="F11" s="62"/>
      <c r="G11" s="62"/>
      <c r="H11" s="62"/>
      <c r="I11" s="62"/>
      <c r="J11" s="7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" customHeight="1">
      <c r="A12" s="1"/>
      <c r="B12" s="1"/>
      <c r="C12" s="70"/>
      <c r="D12" s="62"/>
      <c r="E12" s="62"/>
      <c r="F12" s="62"/>
      <c r="G12" s="62"/>
      <c r="H12" s="62"/>
      <c r="I12" s="62"/>
      <c r="J12" s="7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70"/>
      <c r="D13" s="61" t="s">
        <v>1</v>
      </c>
      <c r="E13" s="62"/>
      <c r="F13" s="62"/>
      <c r="G13" s="62"/>
      <c r="H13" s="62"/>
      <c r="I13" s="62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" customHeight="1">
      <c r="A14" s="1"/>
      <c r="B14" s="1"/>
      <c r="C14" s="70"/>
      <c r="D14" s="62"/>
      <c r="E14" s="62"/>
      <c r="F14" s="62"/>
      <c r="G14" s="62"/>
      <c r="H14" s="62"/>
      <c r="I14" s="62"/>
      <c r="J14" s="7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1"/>
      <c r="C15" s="70"/>
      <c r="D15" s="62"/>
      <c r="E15" s="63" t="s">
        <v>2</v>
      </c>
      <c r="F15" s="64"/>
      <c r="G15" s="62"/>
      <c r="H15" s="62" t="s">
        <v>3</v>
      </c>
      <c r="I15" s="62" t="s">
        <v>4</v>
      </c>
      <c r="J15" s="7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70"/>
      <c r="D16" s="62"/>
      <c r="E16" s="65" t="s">
        <v>5</v>
      </c>
      <c r="F16" s="65"/>
      <c r="G16" s="62"/>
      <c r="H16" s="65" t="s">
        <v>6</v>
      </c>
      <c r="I16" s="76">
        <f>2500</f>
        <v>2500</v>
      </c>
      <c r="J16" s="7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0"/>
      <c r="D17" s="62"/>
      <c r="E17" s="66" t="s">
        <v>7</v>
      </c>
      <c r="F17" s="62"/>
      <c r="G17" s="62"/>
      <c r="H17" s="66" t="s">
        <v>8</v>
      </c>
      <c r="I17" s="76">
        <v>12000</v>
      </c>
      <c r="J17" s="7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70"/>
      <c r="D18" s="62"/>
      <c r="E18" s="62" t="s">
        <v>9</v>
      </c>
      <c r="F18" s="62"/>
      <c r="G18" s="62"/>
      <c r="H18" s="65" t="s">
        <v>10</v>
      </c>
      <c r="I18" s="76">
        <v>8000</v>
      </c>
      <c r="J18" s="7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70"/>
      <c r="D19" s="62"/>
      <c r="E19" s="62" t="s">
        <v>11</v>
      </c>
      <c r="F19" s="62"/>
      <c r="G19" s="62"/>
      <c r="H19" s="65" t="s">
        <v>12</v>
      </c>
      <c r="I19" s="76">
        <v>2000</v>
      </c>
      <c r="J19" s="7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"/>
      <c r="B20" s="1"/>
      <c r="C20" s="70"/>
      <c r="D20" s="62"/>
      <c r="E20" s="79" t="s">
        <v>162</v>
      </c>
      <c r="F20" s="62"/>
      <c r="G20" s="62"/>
      <c r="I20" s="80">
        <f>SUM(I16:I19)</f>
        <v>24500</v>
      </c>
      <c r="J20" s="7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>
      <c r="A21" s="1"/>
      <c r="B21" s="1"/>
      <c r="C21" s="70"/>
      <c r="D21" s="62"/>
      <c r="E21" s="62"/>
      <c r="F21" s="62"/>
      <c r="G21" s="62"/>
      <c r="H21" s="62"/>
      <c r="I21" s="77"/>
      <c r="J21" s="7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70"/>
      <c r="D22" s="67" t="s">
        <v>13</v>
      </c>
      <c r="E22" s="62"/>
      <c r="F22" s="62"/>
      <c r="G22" s="62"/>
      <c r="H22" s="62"/>
      <c r="I22" s="77"/>
      <c r="J22" s="7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70"/>
      <c r="D23" s="62"/>
      <c r="E23" s="68" t="s">
        <v>14</v>
      </c>
      <c r="F23" s="62"/>
      <c r="G23" s="62"/>
      <c r="H23" s="62"/>
      <c r="I23" s="77">
        <v>1650</v>
      </c>
      <c r="J23" s="7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70"/>
      <c r="D24" s="62"/>
      <c r="E24" s="68" t="s">
        <v>15</v>
      </c>
      <c r="F24" s="62"/>
      <c r="G24" s="62"/>
      <c r="H24" s="62"/>
      <c r="I24" s="77">
        <v>12000</v>
      </c>
      <c r="J24" s="7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70"/>
      <c r="D25" s="62"/>
      <c r="E25" s="68" t="s">
        <v>16</v>
      </c>
      <c r="F25" s="62"/>
      <c r="G25" s="62"/>
      <c r="H25" s="62"/>
      <c r="I25" s="77">
        <v>5000</v>
      </c>
      <c r="J25" s="7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70"/>
      <c r="D26" s="62"/>
      <c r="E26" s="68" t="s">
        <v>17</v>
      </c>
      <c r="F26" s="62"/>
      <c r="G26" s="62"/>
      <c r="H26" s="62"/>
      <c r="I26" s="77">
        <v>13000</v>
      </c>
      <c r="J26" s="7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70"/>
      <c r="D27" s="62"/>
      <c r="E27" s="62" t="str">
        <f>E20</f>
        <v>Subtotal</v>
      </c>
      <c r="F27" s="62"/>
      <c r="G27" s="62"/>
      <c r="I27" s="80">
        <f>SUM(I23:I26)</f>
        <v>31650</v>
      </c>
      <c r="J27" s="7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>
      <c r="A28" s="1"/>
      <c r="B28" s="1"/>
      <c r="C28" s="70"/>
      <c r="D28" s="62"/>
      <c r="E28" s="62"/>
      <c r="F28" s="62"/>
      <c r="G28" s="62"/>
      <c r="H28" s="62"/>
      <c r="I28" s="77"/>
      <c r="J28" s="7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70"/>
      <c r="D29" s="67" t="s">
        <v>18</v>
      </c>
      <c r="E29" s="62"/>
      <c r="F29" s="62"/>
      <c r="G29" s="62"/>
      <c r="H29" s="62"/>
      <c r="I29" s="77"/>
      <c r="J29" s="7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70"/>
      <c r="D30" s="62"/>
      <c r="E30" s="68" t="s">
        <v>19</v>
      </c>
      <c r="F30" s="62"/>
      <c r="G30" s="62"/>
      <c r="H30" s="62"/>
      <c r="I30" s="77">
        <v>15000</v>
      </c>
      <c r="J30" s="7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70"/>
      <c r="D31" s="62"/>
      <c r="E31" s="68" t="s">
        <v>20</v>
      </c>
      <c r="F31" s="62"/>
      <c r="G31" s="62"/>
      <c r="H31" s="62"/>
      <c r="I31" s="77">
        <v>8000</v>
      </c>
      <c r="J31" s="7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70"/>
      <c r="D32" s="62"/>
      <c r="E32" s="68" t="s">
        <v>21</v>
      </c>
      <c r="F32" s="62"/>
      <c r="G32" s="62"/>
      <c r="H32" s="62"/>
      <c r="I32" s="77">
        <v>2500</v>
      </c>
      <c r="J32" s="7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70"/>
      <c r="D33" s="62"/>
      <c r="E33" s="68" t="s">
        <v>22</v>
      </c>
      <c r="F33" s="62"/>
      <c r="G33" s="62"/>
      <c r="H33" s="62"/>
      <c r="I33" s="77">
        <v>5000</v>
      </c>
      <c r="J33" s="7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70"/>
      <c r="D34" s="62"/>
      <c r="E34" s="62" t="str">
        <f>E27</f>
        <v>Subtotal</v>
      </c>
      <c r="F34" s="62"/>
      <c r="G34" s="62"/>
      <c r="I34" s="80">
        <f>SUM(I30:I33)</f>
        <v>30500</v>
      </c>
      <c r="J34" s="7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8.25" customHeight="1">
      <c r="A35" s="1"/>
      <c r="B35" s="1"/>
      <c r="C35" s="70"/>
      <c r="D35" s="62"/>
      <c r="E35" s="62"/>
      <c r="F35" s="62"/>
      <c r="G35" s="62"/>
      <c r="H35" s="62"/>
      <c r="I35" s="77"/>
      <c r="J35" s="7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70"/>
      <c r="D36" s="69" t="s">
        <v>23</v>
      </c>
      <c r="E36" s="62"/>
      <c r="F36" s="62"/>
      <c r="G36" s="62"/>
      <c r="H36" s="62"/>
      <c r="I36" s="77"/>
      <c r="J36" s="7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70"/>
      <c r="D37" s="62"/>
      <c r="E37" s="68" t="s">
        <v>24</v>
      </c>
      <c r="F37" s="62"/>
      <c r="G37" s="62"/>
      <c r="H37" s="62"/>
      <c r="I37" s="77">
        <v>60000</v>
      </c>
      <c r="J37" s="7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70"/>
      <c r="D38" s="62"/>
      <c r="E38" s="68" t="s">
        <v>25</v>
      </c>
      <c r="F38" s="62"/>
      <c r="G38" s="62"/>
      <c r="H38" s="62"/>
      <c r="I38" s="77">
        <v>60000</v>
      </c>
      <c r="J38" s="7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70"/>
      <c r="D39" s="62"/>
      <c r="E39" s="68" t="s">
        <v>26</v>
      </c>
      <c r="F39" s="62"/>
      <c r="G39" s="62"/>
      <c r="H39" s="62"/>
      <c r="I39" s="77">
        <v>20000</v>
      </c>
      <c r="J39" s="7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70"/>
      <c r="D40" s="62"/>
      <c r="E40" s="62" t="str">
        <f>E34</f>
        <v>Subtotal</v>
      </c>
      <c r="F40" s="62"/>
      <c r="G40" s="62"/>
      <c r="I40" s="80">
        <f>SUM(I37:I39)</f>
        <v>140000</v>
      </c>
      <c r="J40" s="7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.5" customHeight="1">
      <c r="A41" s="1"/>
      <c r="B41" s="1"/>
      <c r="C41" s="70"/>
      <c r="D41" s="62"/>
      <c r="E41" s="62"/>
      <c r="F41" s="62"/>
      <c r="G41" s="62"/>
      <c r="H41" s="62"/>
      <c r="I41" s="77"/>
      <c r="J41" s="7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70"/>
      <c r="D42" s="69" t="s">
        <v>27</v>
      </c>
      <c r="E42" s="62"/>
      <c r="F42" s="62"/>
      <c r="G42" s="62"/>
      <c r="H42" s="62"/>
      <c r="I42" s="77"/>
      <c r="J42" s="7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70"/>
      <c r="D43" s="62"/>
      <c r="E43" s="68" t="s">
        <v>28</v>
      </c>
      <c r="F43" s="62"/>
      <c r="G43" s="62"/>
      <c r="H43" s="62"/>
      <c r="I43" s="77">
        <v>180000</v>
      </c>
      <c r="J43" s="7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70"/>
      <c r="D44" s="62"/>
      <c r="E44" s="68" t="s">
        <v>29</v>
      </c>
      <c r="F44" s="62"/>
      <c r="G44" s="62"/>
      <c r="H44" s="62"/>
      <c r="I44" s="77">
        <v>30000</v>
      </c>
      <c r="J44" s="7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70"/>
      <c r="D45" s="62"/>
      <c r="E45" s="68" t="s">
        <v>30</v>
      </c>
      <c r="F45" s="62"/>
      <c r="G45" s="62"/>
      <c r="H45" s="62"/>
      <c r="I45" s="77">
        <v>18000</v>
      </c>
      <c r="J45" s="7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70"/>
      <c r="D46" s="62"/>
      <c r="E46" s="62" t="str">
        <f>E40</f>
        <v>Subtotal</v>
      </c>
      <c r="F46" s="62"/>
      <c r="G46" s="62"/>
      <c r="I46" s="80">
        <f>SUM(I43:I45)</f>
        <v>228000</v>
      </c>
      <c r="J46" s="7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" customHeight="1">
      <c r="A47" s="1"/>
      <c r="B47" s="1"/>
      <c r="C47" s="70"/>
      <c r="D47" s="62"/>
      <c r="E47" s="62"/>
      <c r="F47" s="62"/>
      <c r="G47" s="62"/>
      <c r="H47" s="62"/>
      <c r="I47" s="77"/>
      <c r="J47" s="7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70"/>
      <c r="D48" s="67" t="s">
        <v>31</v>
      </c>
      <c r="E48" s="62"/>
      <c r="F48" s="62"/>
      <c r="G48" s="62"/>
      <c r="H48" s="62"/>
      <c r="I48" s="77">
        <v>15000</v>
      </c>
      <c r="J48" s="7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70"/>
      <c r="D49" s="67"/>
      <c r="E49" s="62" t="str">
        <f>E46</f>
        <v>Subtotal</v>
      </c>
      <c r="F49" s="62"/>
      <c r="G49" s="62"/>
      <c r="I49" s="80">
        <f>I48</f>
        <v>15000</v>
      </c>
      <c r="J49" s="7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.75" customHeight="1">
      <c r="A50" s="1"/>
      <c r="B50" s="1"/>
      <c r="C50" s="70"/>
      <c r="D50" s="62"/>
      <c r="E50" s="62"/>
      <c r="F50" s="62"/>
      <c r="G50" s="62"/>
      <c r="H50" s="62"/>
      <c r="I50" s="78"/>
      <c r="J50" s="7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thickBot="1">
      <c r="A51" s="1"/>
      <c r="B51" s="1"/>
      <c r="C51" s="70"/>
      <c r="D51" s="72" t="s">
        <v>32</v>
      </c>
      <c r="E51" s="62"/>
      <c r="F51" s="62"/>
      <c r="G51" s="62"/>
      <c r="H51" s="62"/>
      <c r="I51" s="81">
        <f>I20+I27+I34+I40+I46+I49</f>
        <v>469650</v>
      </c>
      <c r="J51" s="7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.25" customHeight="1" thickTop="1">
      <c r="A52" s="1"/>
      <c r="B52" s="1"/>
      <c r="C52" s="73"/>
      <c r="D52" s="74"/>
      <c r="E52" s="74"/>
      <c r="F52" s="74"/>
      <c r="G52" s="74"/>
      <c r="H52" s="74"/>
      <c r="I52" s="74"/>
      <c r="J52" s="7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">
    <mergeCell ref="E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14"/>
  <sheetViews>
    <sheetView workbookViewId="0"/>
  </sheetViews>
  <sheetFormatPr defaultColWidth="12.5703125" defaultRowHeight="15.75" customHeight="1"/>
  <cols>
    <col min="2" max="2" width="42.85546875" customWidth="1"/>
    <col min="3" max="3" width="20.7109375" customWidth="1"/>
    <col min="4" max="5" width="5.140625" customWidth="1"/>
    <col min="6" max="6" width="6" customWidth="1"/>
    <col min="7" max="7" width="23.42578125" customWidth="1"/>
    <col min="8" max="8" width="31.42578125" customWidth="1"/>
    <col min="9" max="9" width="13.42578125" customWidth="1"/>
    <col min="11" max="11" width="9.42578125" customWidth="1"/>
    <col min="12" max="12" width="20.42578125" customWidth="1"/>
    <col min="14" max="14" width="3.5703125" customWidth="1"/>
    <col min="15" max="15" width="15.7109375" customWidth="1"/>
    <col min="16" max="16" width="4.140625" customWidth="1"/>
    <col min="17" max="17" width="5" customWidth="1"/>
    <col min="18" max="18" width="8.28515625" customWidth="1"/>
    <col min="19" max="19" width="16.7109375" customWidth="1"/>
    <col min="20" max="20" width="31.28515625" customWidth="1"/>
    <col min="22" max="22" width="13.42578125" customWidth="1"/>
    <col min="24" max="24" width="20.42578125" customWidth="1"/>
    <col min="26" max="26" width="4.42578125" customWidth="1"/>
    <col min="28" max="28" width="5.42578125" customWidth="1"/>
    <col min="29" max="29" width="4.5703125" customWidth="1"/>
    <col min="30" max="30" width="8.42578125" customWidth="1"/>
    <col min="31" max="31" width="18.5703125" customWidth="1"/>
    <col min="32" max="32" width="31.42578125" customWidth="1"/>
    <col min="33" max="34" width="13.42578125" customWidth="1"/>
    <col min="35" max="35" width="9.42578125" customWidth="1"/>
    <col min="36" max="36" width="20.42578125" customWidth="1"/>
    <col min="37" max="37" width="12.85546875" customWidth="1"/>
    <col min="38" max="38" width="4" customWidth="1"/>
  </cols>
  <sheetData>
    <row r="1" spans="1:41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>
      <c r="A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>
      <c r="A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>
      <c r="A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>
      <c r="A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>
      <c r="A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>
      <c r="A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>
      <c r="A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>
      <c r="A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>
      <c r="A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>
      <c r="A11" s="7"/>
      <c r="B11" s="8" t="s">
        <v>34</v>
      </c>
      <c r="C11" s="6"/>
      <c r="D11" s="9"/>
      <c r="E11" s="10"/>
      <c r="F11" s="10"/>
      <c r="G11" s="10"/>
      <c r="H11" s="10"/>
      <c r="I11" s="10"/>
      <c r="J11" s="10" t="s">
        <v>35</v>
      </c>
      <c r="K11" s="10"/>
      <c r="L11" s="10"/>
      <c r="M11" s="10"/>
      <c r="N11" s="11"/>
      <c r="O11" s="6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1"/>
      <c r="AA11" s="6"/>
      <c r="AB11" s="9"/>
      <c r="AC11" s="10"/>
      <c r="AD11" s="10"/>
      <c r="AE11" s="10"/>
      <c r="AF11" s="10"/>
      <c r="AG11" s="10"/>
      <c r="AH11" s="10"/>
      <c r="AI11" s="10"/>
      <c r="AJ11" s="10"/>
      <c r="AK11" s="10"/>
      <c r="AL11" s="11"/>
      <c r="AM11" s="6"/>
      <c r="AN11" s="6"/>
      <c r="AO11" s="6"/>
    </row>
    <row r="12" spans="1:41" ht="15.75" customHeight="1">
      <c r="A12" s="7"/>
      <c r="B12" s="12" t="s">
        <v>36</v>
      </c>
      <c r="C12" s="13"/>
      <c r="D12" s="14"/>
      <c r="E12" s="13" t="s">
        <v>37</v>
      </c>
      <c r="F12" s="6"/>
      <c r="G12" s="6"/>
      <c r="H12" s="6"/>
      <c r="I12" s="6"/>
      <c r="J12" s="6"/>
      <c r="K12" s="6"/>
      <c r="L12" s="6"/>
      <c r="M12" s="6"/>
      <c r="N12" s="15"/>
      <c r="O12" s="6"/>
      <c r="P12" s="16"/>
      <c r="Q12" s="13" t="s">
        <v>38</v>
      </c>
      <c r="R12" s="6"/>
      <c r="S12" s="6"/>
      <c r="T12" s="6"/>
      <c r="U12" s="6"/>
      <c r="V12" s="6"/>
      <c r="W12" s="6"/>
      <c r="X12" s="6"/>
      <c r="Y12" s="6"/>
      <c r="Z12" s="15"/>
      <c r="AA12" s="6"/>
      <c r="AB12" s="16"/>
      <c r="AC12" s="13" t="s">
        <v>39</v>
      </c>
      <c r="AD12" s="6"/>
      <c r="AE12" s="6"/>
      <c r="AF12" s="6"/>
      <c r="AG12" s="6"/>
      <c r="AH12" s="6"/>
      <c r="AI12" s="6"/>
      <c r="AJ12" s="6"/>
      <c r="AK12" s="6"/>
      <c r="AL12" s="15"/>
      <c r="AM12" s="6"/>
      <c r="AN12" s="6"/>
      <c r="AO12" s="6"/>
    </row>
    <row r="13" spans="1:41">
      <c r="A13" s="6"/>
      <c r="B13" s="12"/>
      <c r="C13" s="6"/>
      <c r="D13" s="16"/>
      <c r="E13" s="6"/>
      <c r="F13" s="6"/>
      <c r="G13" s="6"/>
      <c r="H13" s="6"/>
      <c r="I13" s="6"/>
      <c r="J13" s="6"/>
      <c r="K13" s="6"/>
      <c r="L13" s="6"/>
      <c r="M13" s="6"/>
      <c r="N13" s="15"/>
      <c r="O13" s="6"/>
      <c r="P13" s="16"/>
      <c r="Q13" s="6"/>
      <c r="R13" s="6"/>
      <c r="S13" s="6"/>
      <c r="T13" s="6"/>
      <c r="U13" s="6"/>
      <c r="V13" s="6"/>
      <c r="W13" s="6"/>
      <c r="X13" s="6"/>
      <c r="Y13" s="6"/>
      <c r="Z13" s="15"/>
      <c r="AA13" s="6"/>
      <c r="AB13" s="16"/>
      <c r="AC13" s="6"/>
      <c r="AD13" s="6"/>
      <c r="AE13" s="6"/>
      <c r="AF13" s="6"/>
      <c r="AG13" s="6"/>
      <c r="AH13" s="6"/>
      <c r="AI13" s="6"/>
      <c r="AJ13" s="6"/>
      <c r="AK13" s="6"/>
      <c r="AL13" s="15"/>
      <c r="AM13" s="6"/>
      <c r="AN13" s="6"/>
      <c r="AO13" s="6"/>
    </row>
    <row r="14" spans="1:41" ht="15.75" customHeight="1">
      <c r="A14" s="6"/>
      <c r="B14" s="12" t="s">
        <v>40</v>
      </c>
      <c r="C14" s="13"/>
      <c r="D14" s="14"/>
      <c r="E14" s="13" t="s">
        <v>41</v>
      </c>
      <c r="F14" s="6"/>
      <c r="G14" s="6"/>
      <c r="H14" s="6"/>
      <c r="I14" s="6"/>
      <c r="J14" s="6"/>
      <c r="K14" s="6"/>
      <c r="L14" s="6"/>
      <c r="M14" s="6"/>
      <c r="N14" s="15"/>
      <c r="O14" s="6"/>
      <c r="P14" s="16"/>
      <c r="Q14" s="13" t="s">
        <v>41</v>
      </c>
      <c r="R14" s="6"/>
      <c r="S14" s="6"/>
      <c r="T14" s="6"/>
      <c r="U14" s="6"/>
      <c r="V14" s="6"/>
      <c r="W14" s="6"/>
      <c r="X14" s="6"/>
      <c r="Y14" s="6"/>
      <c r="Z14" s="15"/>
      <c r="AA14" s="6"/>
      <c r="AB14" s="16"/>
      <c r="AC14" s="13" t="s">
        <v>41</v>
      </c>
      <c r="AD14" s="6"/>
      <c r="AE14" s="6"/>
      <c r="AF14" s="6"/>
      <c r="AG14" s="6"/>
      <c r="AH14" s="6"/>
      <c r="AI14" s="6"/>
      <c r="AJ14" s="6"/>
      <c r="AK14" s="6"/>
      <c r="AL14" s="15"/>
      <c r="AM14" s="6"/>
      <c r="AN14" s="6"/>
      <c r="AO14" s="6"/>
    </row>
    <row r="15" spans="1:41">
      <c r="A15" s="6"/>
      <c r="B15" s="12"/>
      <c r="C15" s="6"/>
      <c r="D15" s="16"/>
      <c r="E15" s="6"/>
      <c r="F15" s="6"/>
      <c r="G15" s="6"/>
      <c r="H15" s="6"/>
      <c r="I15" s="6"/>
      <c r="J15" s="6"/>
      <c r="K15" s="6"/>
      <c r="L15" s="6"/>
      <c r="M15" s="6"/>
      <c r="N15" s="15"/>
      <c r="O15" s="6"/>
      <c r="P15" s="16"/>
      <c r="Q15" s="6"/>
      <c r="R15" s="6"/>
      <c r="S15" s="6"/>
      <c r="T15" s="6"/>
      <c r="U15" s="6"/>
      <c r="V15" s="6"/>
      <c r="W15" s="6"/>
      <c r="X15" s="6"/>
      <c r="Y15" s="6"/>
      <c r="Z15" s="15"/>
      <c r="AA15" s="6"/>
      <c r="AB15" s="16"/>
      <c r="AC15" s="6"/>
      <c r="AD15" s="6"/>
      <c r="AE15" s="6"/>
      <c r="AF15" s="6"/>
      <c r="AG15" s="6"/>
      <c r="AH15" s="6"/>
      <c r="AI15" s="6"/>
      <c r="AJ15" s="6"/>
      <c r="AK15" s="6"/>
      <c r="AL15" s="15"/>
      <c r="AM15" s="6"/>
      <c r="AN15" s="6"/>
      <c r="AO15" s="6"/>
    </row>
    <row r="16" spans="1:41" ht="15.75" customHeight="1">
      <c r="A16" s="17"/>
      <c r="B16" s="12" t="s">
        <v>42</v>
      </c>
      <c r="C16" s="17"/>
      <c r="D16" s="18"/>
      <c r="E16" s="17" t="s">
        <v>43</v>
      </c>
      <c r="F16" s="17"/>
      <c r="G16" s="17"/>
      <c r="H16" s="17" t="s">
        <v>44</v>
      </c>
      <c r="I16" s="17" t="s">
        <v>45</v>
      </c>
      <c r="J16" s="17" t="s">
        <v>46</v>
      </c>
      <c r="K16" s="17" t="s">
        <v>47</v>
      </c>
      <c r="L16" s="17" t="s">
        <v>48</v>
      </c>
      <c r="M16" s="17" t="s">
        <v>49</v>
      </c>
      <c r="N16" s="19"/>
      <c r="O16" s="17"/>
      <c r="P16" s="18"/>
      <c r="Q16" s="17" t="s">
        <v>43</v>
      </c>
      <c r="R16" s="17"/>
      <c r="S16" s="17"/>
      <c r="T16" s="17" t="s">
        <v>44</v>
      </c>
      <c r="U16" s="17" t="s">
        <v>45</v>
      </c>
      <c r="V16" s="17" t="s">
        <v>46</v>
      </c>
      <c r="W16" s="17" t="s">
        <v>47</v>
      </c>
      <c r="X16" s="17" t="s">
        <v>48</v>
      </c>
      <c r="Y16" s="17" t="s">
        <v>49</v>
      </c>
      <c r="Z16" s="19"/>
      <c r="AA16" s="17"/>
      <c r="AB16" s="18"/>
      <c r="AC16" s="17" t="s">
        <v>43</v>
      </c>
      <c r="AD16" s="17"/>
      <c r="AE16" s="17"/>
      <c r="AF16" s="17" t="s">
        <v>44</v>
      </c>
      <c r="AG16" s="17" t="s">
        <v>45</v>
      </c>
      <c r="AH16" s="17" t="s">
        <v>46</v>
      </c>
      <c r="AI16" s="17" t="s">
        <v>47</v>
      </c>
      <c r="AJ16" s="17" t="s">
        <v>48</v>
      </c>
      <c r="AK16" s="17" t="s">
        <v>49</v>
      </c>
      <c r="AL16" s="19"/>
      <c r="AM16" s="17"/>
      <c r="AN16" s="17"/>
      <c r="AO16" s="17"/>
    </row>
    <row r="17" spans="1:41">
      <c r="A17" s="6"/>
      <c r="B17" s="12"/>
      <c r="D17" s="20"/>
      <c r="F17" s="7" t="s">
        <v>50</v>
      </c>
      <c r="G17" s="21"/>
      <c r="H17" s="21">
        <v>10000</v>
      </c>
      <c r="I17" s="6">
        <v>300</v>
      </c>
      <c r="J17" s="22">
        <v>0.05</v>
      </c>
      <c r="K17" s="21">
        <f t="shared" ref="K17:K18" si="0">H17*J17</f>
        <v>500</v>
      </c>
      <c r="L17" s="6"/>
      <c r="M17" s="21">
        <f t="shared" ref="M17:M18" si="1">I17*K17</f>
        <v>150000</v>
      </c>
      <c r="N17" s="15"/>
      <c r="O17" s="6"/>
      <c r="P17" s="16"/>
      <c r="R17" s="7" t="s">
        <v>50</v>
      </c>
      <c r="S17" s="21"/>
      <c r="T17" s="21">
        <v>10000</v>
      </c>
      <c r="U17" s="6">
        <v>800</v>
      </c>
      <c r="V17" s="22">
        <v>0.05</v>
      </c>
      <c r="W17" s="21">
        <f t="shared" ref="W17:W18" si="2">T17*V17</f>
        <v>500</v>
      </c>
      <c r="X17" s="6"/>
      <c r="Y17" s="21">
        <f t="shared" ref="Y17:Y18" si="3">U17*W17</f>
        <v>400000</v>
      </c>
      <c r="Z17" s="15"/>
      <c r="AA17" s="6"/>
      <c r="AB17" s="16"/>
      <c r="AD17" s="7" t="s">
        <v>50</v>
      </c>
      <c r="AE17" s="21"/>
      <c r="AF17" s="21">
        <v>10000</v>
      </c>
      <c r="AG17" s="23">
        <v>1500</v>
      </c>
      <c r="AH17" s="22">
        <v>0.05</v>
      </c>
      <c r="AI17" s="21">
        <f t="shared" ref="AI17:AI18" si="4">AF17*AH17</f>
        <v>500</v>
      </c>
      <c r="AJ17" s="6"/>
      <c r="AK17" s="21">
        <f t="shared" ref="AK17:AK18" si="5">AG17*AI17</f>
        <v>750000</v>
      </c>
      <c r="AL17" s="24"/>
      <c r="AM17" s="21"/>
      <c r="AN17" s="21"/>
      <c r="AO17" s="21"/>
    </row>
    <row r="18" spans="1:41">
      <c r="A18" s="6"/>
      <c r="B18" s="12" t="s">
        <v>51</v>
      </c>
      <c r="D18" s="20"/>
      <c r="F18" s="25" t="s">
        <v>52</v>
      </c>
      <c r="G18" s="21"/>
      <c r="H18" s="21">
        <v>5000</v>
      </c>
      <c r="I18" s="25">
        <v>200</v>
      </c>
      <c r="J18" s="22">
        <v>0.08</v>
      </c>
      <c r="K18" s="21">
        <f t="shared" si="0"/>
        <v>400</v>
      </c>
      <c r="L18" s="6"/>
      <c r="M18" s="21">
        <f t="shared" si="1"/>
        <v>80000</v>
      </c>
      <c r="N18" s="15"/>
      <c r="O18" s="6"/>
      <c r="P18" s="16"/>
      <c r="R18" s="25" t="s">
        <v>52</v>
      </c>
      <c r="S18" s="21"/>
      <c r="T18" s="21">
        <v>5000</v>
      </c>
      <c r="U18" s="25">
        <v>700</v>
      </c>
      <c r="V18" s="22">
        <v>0.08</v>
      </c>
      <c r="W18" s="21">
        <f t="shared" si="2"/>
        <v>400</v>
      </c>
      <c r="X18" s="6"/>
      <c r="Y18" s="21">
        <f t="shared" si="3"/>
        <v>280000</v>
      </c>
      <c r="Z18" s="15"/>
      <c r="AA18" s="6"/>
      <c r="AB18" s="16"/>
      <c r="AD18" s="25" t="s">
        <v>52</v>
      </c>
      <c r="AE18" s="21"/>
      <c r="AF18" s="21">
        <v>5000</v>
      </c>
      <c r="AG18" s="26">
        <v>1500</v>
      </c>
      <c r="AH18" s="22">
        <v>0.08</v>
      </c>
      <c r="AI18" s="21">
        <f t="shared" si="4"/>
        <v>400</v>
      </c>
      <c r="AJ18" s="6"/>
      <c r="AK18" s="21">
        <f t="shared" si="5"/>
        <v>600000</v>
      </c>
      <c r="AL18" s="24"/>
      <c r="AM18" s="21"/>
      <c r="AN18" s="21"/>
      <c r="AO18" s="21"/>
    </row>
    <row r="19" spans="1:41">
      <c r="A19" s="6"/>
      <c r="B19" s="12"/>
      <c r="D19" s="20"/>
      <c r="F19" s="25" t="s">
        <v>53</v>
      </c>
      <c r="G19" s="25"/>
      <c r="H19" s="25"/>
      <c r="I19" s="25">
        <v>50</v>
      </c>
      <c r="J19" s="21"/>
      <c r="K19" s="21">
        <v>200</v>
      </c>
      <c r="L19" s="6">
        <v>6</v>
      </c>
      <c r="M19" s="21">
        <f>I19*K19*L19</f>
        <v>60000</v>
      </c>
      <c r="N19" s="15"/>
      <c r="O19" s="6"/>
      <c r="P19" s="16"/>
      <c r="R19" s="25" t="s">
        <v>53</v>
      </c>
      <c r="S19" s="25"/>
      <c r="T19" s="25"/>
      <c r="U19" s="25">
        <v>150</v>
      </c>
      <c r="V19" s="21"/>
      <c r="W19" s="21">
        <v>200</v>
      </c>
      <c r="X19" s="6">
        <v>12</v>
      </c>
      <c r="Y19" s="21">
        <f>U19*W19*X19</f>
        <v>360000</v>
      </c>
      <c r="Z19" s="15"/>
      <c r="AA19" s="6"/>
      <c r="AB19" s="16"/>
      <c r="AD19" s="25" t="s">
        <v>53</v>
      </c>
      <c r="AE19" s="25"/>
      <c r="AF19" s="25"/>
      <c r="AG19" s="25">
        <v>300</v>
      </c>
      <c r="AH19" s="21"/>
      <c r="AI19" s="21">
        <v>300</v>
      </c>
      <c r="AJ19" s="6">
        <v>12</v>
      </c>
      <c r="AK19" s="21">
        <f>AG19*AI19*AJ19</f>
        <v>1080000</v>
      </c>
      <c r="AL19" s="24"/>
      <c r="AM19" s="21"/>
      <c r="AN19" s="21"/>
      <c r="AO19" s="21"/>
    </row>
    <row r="20" spans="1:41">
      <c r="A20" s="6"/>
      <c r="B20" s="12" t="s">
        <v>54</v>
      </c>
      <c r="C20" s="7"/>
      <c r="D20" s="27"/>
      <c r="E20" s="7"/>
      <c r="F20" s="6"/>
      <c r="G20" s="6"/>
      <c r="H20" s="6"/>
      <c r="I20" s="6"/>
      <c r="J20" s="21"/>
      <c r="K20" s="21"/>
      <c r="L20" s="6"/>
      <c r="M20" s="6"/>
      <c r="N20" s="15"/>
      <c r="O20" s="6"/>
      <c r="P20" s="16"/>
      <c r="Q20" s="7"/>
      <c r="R20" s="6"/>
      <c r="S20" s="6"/>
      <c r="T20" s="6"/>
      <c r="U20" s="6"/>
      <c r="V20" s="21"/>
      <c r="W20" s="21"/>
      <c r="X20" s="6"/>
      <c r="Y20" s="6"/>
      <c r="Z20" s="15"/>
      <c r="AA20" s="6"/>
      <c r="AB20" s="16"/>
      <c r="AC20" s="7"/>
      <c r="AD20" s="6"/>
      <c r="AE20" s="6"/>
      <c r="AF20" s="6"/>
      <c r="AG20" s="6"/>
      <c r="AH20" s="21"/>
      <c r="AI20" s="21"/>
      <c r="AJ20" s="6"/>
      <c r="AK20" s="6"/>
      <c r="AL20" s="15"/>
      <c r="AM20" s="6"/>
      <c r="AN20" s="6"/>
      <c r="AO20" s="6"/>
    </row>
    <row r="21" spans="1:41" ht="15.75" customHeight="1">
      <c r="A21" s="6"/>
      <c r="B21" s="28" t="s">
        <v>55</v>
      </c>
      <c r="C21" s="13"/>
      <c r="D21" s="14"/>
      <c r="E21" s="13" t="s">
        <v>56</v>
      </c>
      <c r="F21" s="6"/>
      <c r="G21" s="6"/>
      <c r="H21" s="6"/>
      <c r="I21" s="6"/>
      <c r="J21" s="21"/>
      <c r="K21" s="21"/>
      <c r="L21" s="6"/>
      <c r="M21" s="6"/>
      <c r="N21" s="15"/>
      <c r="O21" s="6"/>
      <c r="P21" s="16"/>
      <c r="Q21" s="13" t="s">
        <v>56</v>
      </c>
      <c r="R21" s="6"/>
      <c r="S21" s="6"/>
      <c r="T21" s="6"/>
      <c r="U21" s="6"/>
      <c r="V21" s="21"/>
      <c r="W21" s="21"/>
      <c r="X21" s="6"/>
      <c r="Y21" s="6"/>
      <c r="Z21" s="15"/>
      <c r="AA21" s="6"/>
      <c r="AB21" s="16"/>
      <c r="AC21" s="13" t="s">
        <v>56</v>
      </c>
      <c r="AD21" s="6"/>
      <c r="AE21" s="6"/>
      <c r="AF21" s="6"/>
      <c r="AG21" s="6"/>
      <c r="AH21" s="21"/>
      <c r="AI21" s="21"/>
      <c r="AJ21" s="6"/>
      <c r="AK21" s="6"/>
      <c r="AL21" s="15"/>
      <c r="AM21" s="6"/>
      <c r="AN21" s="6"/>
      <c r="AO21" s="6"/>
    </row>
    <row r="22" spans="1:41">
      <c r="A22" s="6"/>
      <c r="B22" s="6"/>
      <c r="D22" s="20"/>
      <c r="F22" s="29" t="s">
        <v>57</v>
      </c>
      <c r="G22" s="6"/>
      <c r="H22" s="6"/>
      <c r="I22" s="6">
        <v>50</v>
      </c>
      <c r="J22" s="22">
        <v>0.25</v>
      </c>
      <c r="K22" s="21">
        <v>2500</v>
      </c>
      <c r="L22" s="6"/>
      <c r="M22" s="21">
        <f>I22*J22*K22</f>
        <v>31250</v>
      </c>
      <c r="N22" s="15"/>
      <c r="O22" s="6"/>
      <c r="P22" s="16"/>
      <c r="R22" s="29" t="s">
        <v>57</v>
      </c>
      <c r="S22" s="6"/>
      <c r="T22" s="6"/>
      <c r="U22" s="6">
        <v>150</v>
      </c>
      <c r="V22" s="22">
        <v>0.25</v>
      </c>
      <c r="W22" s="21">
        <v>3000</v>
      </c>
      <c r="X22" s="6"/>
      <c r="Y22" s="21">
        <f>U22*V22*W22</f>
        <v>112500</v>
      </c>
      <c r="Z22" s="15"/>
      <c r="AA22" s="6"/>
      <c r="AB22" s="16"/>
      <c r="AD22" s="29" t="s">
        <v>57</v>
      </c>
      <c r="AE22" s="6"/>
      <c r="AF22" s="6"/>
      <c r="AG22" s="6">
        <v>300</v>
      </c>
      <c r="AH22" s="22">
        <v>0.25</v>
      </c>
      <c r="AI22" s="21">
        <v>3500</v>
      </c>
      <c r="AJ22" s="6"/>
      <c r="AK22" s="21">
        <f>AG22*AH22*AI22</f>
        <v>262500</v>
      </c>
      <c r="AL22" s="15"/>
      <c r="AM22" s="6"/>
      <c r="AN22" s="6"/>
      <c r="AO22" s="6"/>
    </row>
    <row r="23" spans="1:41">
      <c r="A23" s="6"/>
      <c r="B23" s="6"/>
      <c r="D23" s="20"/>
      <c r="F23" s="29" t="s">
        <v>58</v>
      </c>
      <c r="G23" s="6"/>
      <c r="H23" s="6"/>
      <c r="I23" s="6">
        <v>100</v>
      </c>
      <c r="J23" s="22">
        <v>0.2</v>
      </c>
      <c r="K23" s="21">
        <v>100</v>
      </c>
      <c r="L23" s="6">
        <v>6</v>
      </c>
      <c r="M23" s="21">
        <f>I23*J23*K23*L23</f>
        <v>12000</v>
      </c>
      <c r="N23" s="15"/>
      <c r="O23" s="6"/>
      <c r="P23" s="16"/>
      <c r="R23" s="29" t="s">
        <v>58</v>
      </c>
      <c r="S23" s="6"/>
      <c r="T23" s="6"/>
      <c r="U23" s="6">
        <v>200</v>
      </c>
      <c r="V23" s="22">
        <v>0.2</v>
      </c>
      <c r="W23" s="21">
        <v>150</v>
      </c>
      <c r="X23" s="6">
        <v>12</v>
      </c>
      <c r="Y23" s="21">
        <f t="shared" ref="Y23:Y24" si="6">U23*V23*W23*X23</f>
        <v>72000</v>
      </c>
      <c r="Z23" s="15"/>
      <c r="AA23" s="6"/>
      <c r="AB23" s="16"/>
      <c r="AD23" s="29" t="s">
        <v>58</v>
      </c>
      <c r="AE23" s="6"/>
      <c r="AF23" s="6"/>
      <c r="AG23" s="6">
        <v>400</v>
      </c>
      <c r="AH23" s="22">
        <v>0.2</v>
      </c>
      <c r="AI23" s="21">
        <v>200</v>
      </c>
      <c r="AJ23" s="6">
        <v>12</v>
      </c>
      <c r="AK23" s="21">
        <f t="shared" ref="AK23:AK24" si="7">AG23*AH23*AI23*AJ23</f>
        <v>192000</v>
      </c>
      <c r="AL23" s="15"/>
      <c r="AM23" s="6"/>
      <c r="AN23" s="6"/>
      <c r="AO23" s="6"/>
    </row>
    <row r="24" spans="1:41">
      <c r="A24" s="6"/>
      <c r="B24" s="6" t="s">
        <v>59</v>
      </c>
      <c r="D24" s="20"/>
      <c r="F24" s="29" t="s">
        <v>60</v>
      </c>
      <c r="G24" s="6"/>
      <c r="H24" s="6"/>
      <c r="I24" s="6">
        <v>50</v>
      </c>
      <c r="J24" s="22">
        <v>0.25</v>
      </c>
      <c r="K24" s="21">
        <v>1000</v>
      </c>
      <c r="L24" s="6"/>
      <c r="M24" s="21">
        <f>I24*J24*K24</f>
        <v>12500</v>
      </c>
      <c r="N24" s="15"/>
      <c r="O24" s="6"/>
      <c r="P24" s="16"/>
      <c r="R24" s="30" t="s">
        <v>61</v>
      </c>
      <c r="S24" s="6"/>
      <c r="T24" s="6"/>
      <c r="U24" s="6">
        <v>100</v>
      </c>
      <c r="V24" s="22">
        <v>7.0000000000000007E-2</v>
      </c>
      <c r="W24" s="21">
        <v>2500</v>
      </c>
      <c r="X24" s="6">
        <v>12</v>
      </c>
      <c r="Y24" s="21">
        <f t="shared" si="6"/>
        <v>210000.00000000006</v>
      </c>
      <c r="Z24" s="15"/>
      <c r="AA24" s="6"/>
      <c r="AB24" s="16"/>
      <c r="AD24" s="30" t="s">
        <v>61</v>
      </c>
      <c r="AE24" s="6"/>
      <c r="AF24" s="6"/>
      <c r="AG24" s="6">
        <v>300</v>
      </c>
      <c r="AH24" s="22">
        <v>7.0000000000000007E-2</v>
      </c>
      <c r="AI24" s="21">
        <v>3000</v>
      </c>
      <c r="AJ24" s="6">
        <v>12</v>
      </c>
      <c r="AK24" s="21">
        <f t="shared" si="7"/>
        <v>756000.00000000012</v>
      </c>
      <c r="AL24" s="15"/>
      <c r="AM24" s="6"/>
      <c r="AN24" s="6"/>
      <c r="AO24" s="6"/>
    </row>
    <row r="25" spans="1:41" ht="15.75" customHeight="1">
      <c r="A25" s="6"/>
      <c r="B25" s="6" t="s">
        <v>62</v>
      </c>
      <c r="D25" s="20"/>
      <c r="F25" s="6"/>
      <c r="G25" s="6"/>
      <c r="H25" s="6"/>
      <c r="I25" s="6"/>
      <c r="J25" s="6"/>
      <c r="K25" s="6"/>
      <c r="L25" s="31" t="s">
        <v>63</v>
      </c>
      <c r="M25" s="32">
        <f>SUM(M17:M24)</f>
        <v>345750</v>
      </c>
      <c r="N25" s="15"/>
      <c r="O25" s="6"/>
      <c r="P25" s="16"/>
      <c r="R25" s="6"/>
      <c r="S25" s="6"/>
      <c r="T25" s="6"/>
      <c r="U25" s="6"/>
      <c r="V25" s="6"/>
      <c r="W25" s="6"/>
      <c r="X25" s="31" t="s">
        <v>63</v>
      </c>
      <c r="Y25" s="32">
        <f>SUM(Y17:Y24)</f>
        <v>1434500</v>
      </c>
      <c r="Z25" s="15"/>
      <c r="AA25" s="6"/>
      <c r="AB25" s="16"/>
      <c r="AD25" s="6"/>
      <c r="AE25" s="6"/>
      <c r="AF25" s="6"/>
      <c r="AG25" s="6"/>
      <c r="AH25" s="6"/>
      <c r="AI25" s="6"/>
      <c r="AJ25" s="33" t="s">
        <v>63</v>
      </c>
      <c r="AK25" s="34">
        <f>SUM(AK17:AK24)</f>
        <v>3640500</v>
      </c>
      <c r="AL25" s="35"/>
      <c r="AM25" s="13"/>
      <c r="AN25" s="13"/>
      <c r="AO25" s="13"/>
    </row>
    <row r="26" spans="1:41">
      <c r="A26" s="6"/>
      <c r="B26" s="36" t="s">
        <v>64</v>
      </c>
      <c r="C26" s="6"/>
      <c r="D26" s="16"/>
      <c r="E26" s="6"/>
      <c r="F26" s="6"/>
      <c r="G26" s="6"/>
      <c r="H26" s="6"/>
      <c r="I26" s="6"/>
      <c r="J26" s="6"/>
      <c r="K26" s="6"/>
      <c r="L26" s="6"/>
      <c r="M26" s="6"/>
      <c r="N26" s="15"/>
      <c r="O26" s="6"/>
      <c r="P26" s="16"/>
      <c r="Q26" s="6"/>
      <c r="R26" s="6"/>
      <c r="S26" s="6"/>
      <c r="T26" s="6"/>
      <c r="U26" s="6"/>
      <c r="V26" s="6"/>
      <c r="W26" s="6"/>
      <c r="X26" s="6"/>
      <c r="Y26" s="6"/>
      <c r="Z26" s="15"/>
      <c r="AA26" s="6"/>
      <c r="AB26" s="16"/>
      <c r="AC26" s="6"/>
      <c r="AD26" s="6"/>
      <c r="AE26" s="6"/>
      <c r="AF26" s="6"/>
      <c r="AG26" s="6"/>
      <c r="AH26" s="6"/>
      <c r="AI26" s="6"/>
      <c r="AJ26" s="6"/>
      <c r="AK26" s="6"/>
      <c r="AL26" s="15"/>
      <c r="AM26" s="6"/>
      <c r="AN26" s="6"/>
      <c r="AO26" s="6"/>
    </row>
    <row r="27" spans="1:41" ht="15.75" customHeight="1">
      <c r="A27" s="6"/>
      <c r="B27" s="36" t="s">
        <v>65</v>
      </c>
      <c r="C27" s="13"/>
      <c r="D27" s="14"/>
      <c r="E27" s="13" t="s">
        <v>66</v>
      </c>
      <c r="F27" s="6"/>
      <c r="G27" s="6"/>
      <c r="H27" s="6"/>
      <c r="I27" s="6"/>
      <c r="J27" s="6"/>
      <c r="K27" s="6"/>
      <c r="L27" s="6"/>
      <c r="M27" s="6"/>
      <c r="N27" s="15"/>
      <c r="O27" s="6"/>
      <c r="P27" s="16"/>
      <c r="Q27" s="13" t="s">
        <v>66</v>
      </c>
      <c r="R27" s="6"/>
      <c r="S27" s="6"/>
      <c r="T27" s="6"/>
      <c r="U27" s="6"/>
      <c r="V27" s="6"/>
      <c r="W27" s="6"/>
      <c r="X27" s="6"/>
      <c r="Y27" s="6"/>
      <c r="Z27" s="15"/>
      <c r="AA27" s="6"/>
      <c r="AB27" s="16"/>
      <c r="AC27" s="13" t="s">
        <v>66</v>
      </c>
      <c r="AD27" s="6"/>
      <c r="AE27" s="6"/>
      <c r="AF27" s="6"/>
      <c r="AG27" s="6"/>
      <c r="AH27" s="6"/>
      <c r="AI27" s="6"/>
      <c r="AJ27" s="6"/>
      <c r="AK27" s="6"/>
      <c r="AL27" s="15"/>
      <c r="AM27" s="6"/>
      <c r="AN27" s="6"/>
      <c r="AO27" s="6"/>
    </row>
    <row r="28" spans="1:41">
      <c r="A28" s="6"/>
      <c r="B28" s="36" t="s">
        <v>67</v>
      </c>
      <c r="C28" s="6"/>
      <c r="D28" s="16"/>
      <c r="E28" s="6"/>
      <c r="F28" s="6"/>
      <c r="G28" s="6"/>
      <c r="H28" s="6"/>
      <c r="I28" s="6"/>
      <c r="J28" s="6"/>
      <c r="K28" s="6"/>
      <c r="L28" s="6"/>
      <c r="M28" s="6"/>
      <c r="N28" s="15"/>
      <c r="O28" s="6"/>
      <c r="P28" s="16"/>
      <c r="Q28" s="6"/>
      <c r="R28" s="6"/>
      <c r="S28" s="6"/>
      <c r="T28" s="6"/>
      <c r="U28" s="6"/>
      <c r="V28" s="6"/>
      <c r="W28" s="6"/>
      <c r="X28" s="6"/>
      <c r="Y28" s="6"/>
      <c r="Z28" s="15"/>
      <c r="AA28" s="6"/>
      <c r="AB28" s="16"/>
      <c r="AC28" s="6"/>
      <c r="AD28" s="6"/>
      <c r="AE28" s="6"/>
      <c r="AF28" s="6"/>
      <c r="AG28" s="6"/>
      <c r="AH28" s="6"/>
      <c r="AI28" s="6"/>
      <c r="AJ28" s="6"/>
      <c r="AK28" s="6"/>
      <c r="AL28" s="15"/>
      <c r="AM28" s="6"/>
      <c r="AN28" s="6"/>
      <c r="AO28" s="6"/>
    </row>
    <row r="29" spans="1:41" ht="15.75" customHeight="1">
      <c r="A29" s="6"/>
      <c r="B29" s="6"/>
      <c r="C29" s="13"/>
      <c r="D29" s="14"/>
      <c r="E29" s="13" t="s">
        <v>2</v>
      </c>
      <c r="F29" s="13"/>
      <c r="G29" s="13"/>
      <c r="H29" s="13" t="s">
        <v>68</v>
      </c>
      <c r="I29" s="13" t="str">
        <f>M16</f>
        <v>Total (Php)</v>
      </c>
      <c r="J29" s="6"/>
      <c r="K29" s="6"/>
      <c r="L29" s="6"/>
      <c r="M29" s="6"/>
      <c r="N29" s="15"/>
      <c r="O29" s="6"/>
      <c r="P29" s="16"/>
      <c r="Q29" s="13" t="s">
        <v>2</v>
      </c>
      <c r="R29" s="13"/>
      <c r="S29" s="13"/>
      <c r="T29" s="13" t="s">
        <v>68</v>
      </c>
      <c r="U29" s="13" t="str">
        <f>Y16</f>
        <v>Total (Php)</v>
      </c>
      <c r="V29" s="6"/>
      <c r="W29" s="6"/>
      <c r="X29" s="6"/>
      <c r="Y29" s="6"/>
      <c r="Z29" s="15"/>
      <c r="AA29" s="6"/>
      <c r="AB29" s="16"/>
      <c r="AC29" s="13" t="s">
        <v>2</v>
      </c>
      <c r="AD29" s="13"/>
      <c r="AE29" s="13"/>
      <c r="AF29" s="13" t="s">
        <v>68</v>
      </c>
      <c r="AG29" s="13" t="str">
        <f>AK16</f>
        <v>Total (Php)</v>
      </c>
      <c r="AH29" s="6"/>
      <c r="AI29" s="6"/>
      <c r="AJ29" s="6"/>
      <c r="AK29" s="6"/>
      <c r="AL29" s="15"/>
      <c r="AM29" s="6"/>
      <c r="AN29" s="6"/>
      <c r="AO29" s="6"/>
    </row>
    <row r="30" spans="1:41">
      <c r="A30" s="6"/>
      <c r="B30" s="37" t="s">
        <v>69</v>
      </c>
      <c r="D30" s="20"/>
      <c r="F30" s="38" t="s">
        <v>70</v>
      </c>
      <c r="G30" s="38"/>
      <c r="H30" s="38" t="s">
        <v>71</v>
      </c>
      <c r="I30" s="21">
        <v>5186</v>
      </c>
      <c r="J30" s="6"/>
      <c r="K30" s="6"/>
      <c r="L30" s="6"/>
      <c r="M30" s="6"/>
      <c r="N30" s="15"/>
      <c r="O30" s="6"/>
      <c r="P30" s="16"/>
      <c r="R30" s="39" t="str">
        <f t="shared" ref="R30:R31" si="8">F30</f>
        <v>GCash Fees</v>
      </c>
      <c r="S30" s="38"/>
      <c r="T30" s="38" t="s">
        <v>71</v>
      </c>
      <c r="U30" s="21">
        <v>28212</v>
      </c>
      <c r="V30" s="6"/>
      <c r="W30" s="6"/>
      <c r="X30" s="6"/>
      <c r="Y30" s="6"/>
      <c r="Z30" s="15"/>
      <c r="AA30" s="6"/>
      <c r="AB30" s="16"/>
      <c r="AD30" s="39" t="str">
        <f t="shared" ref="AD30:AD31" si="9">R30</f>
        <v>GCash Fees</v>
      </c>
      <c r="AE30" s="38"/>
      <c r="AF30" s="38" t="s">
        <v>72</v>
      </c>
      <c r="AG30" s="21">
        <v>65144</v>
      </c>
      <c r="AH30" s="6"/>
      <c r="AI30" s="6"/>
      <c r="AJ30" s="6"/>
      <c r="AK30" s="6"/>
      <c r="AL30" s="15"/>
      <c r="AM30" s="6"/>
      <c r="AN30" s="6"/>
      <c r="AO30" s="6"/>
    </row>
    <row r="31" spans="1:41">
      <c r="A31" s="6"/>
      <c r="B31" s="37" t="s">
        <v>73</v>
      </c>
      <c r="D31" s="20"/>
      <c r="F31" s="38" t="s">
        <v>74</v>
      </c>
      <c r="G31" s="39"/>
      <c r="H31" s="29" t="s">
        <v>75</v>
      </c>
      <c r="I31" s="21">
        <v>6051</v>
      </c>
      <c r="J31" s="6"/>
      <c r="K31" s="6"/>
      <c r="L31" s="6"/>
      <c r="M31" s="6"/>
      <c r="N31" s="15"/>
      <c r="O31" s="6"/>
      <c r="P31" s="16"/>
      <c r="R31" s="39" t="str">
        <f t="shared" si="8"/>
        <v>PayMaya Fees</v>
      </c>
      <c r="S31" s="38"/>
      <c r="T31" s="38" t="s">
        <v>76</v>
      </c>
      <c r="U31" s="21">
        <v>32914</v>
      </c>
      <c r="V31" s="6"/>
      <c r="W31" s="6"/>
      <c r="X31" s="6"/>
      <c r="Y31" s="6"/>
      <c r="Z31" s="15"/>
      <c r="AA31" s="6"/>
      <c r="AB31" s="16"/>
      <c r="AD31" s="39" t="str">
        <f t="shared" si="9"/>
        <v>PayMaya Fees</v>
      </c>
      <c r="AE31" s="38"/>
      <c r="AF31" s="38" t="s">
        <v>77</v>
      </c>
      <c r="AG31" s="21">
        <v>78173</v>
      </c>
      <c r="AH31" s="6"/>
      <c r="AI31" s="6"/>
      <c r="AJ31" s="6"/>
      <c r="AK31" s="6"/>
      <c r="AL31" s="15"/>
      <c r="AM31" s="6"/>
      <c r="AN31" s="6"/>
      <c r="AO31" s="6"/>
    </row>
    <row r="32" spans="1:41">
      <c r="A32" s="6"/>
      <c r="B32" s="37" t="s">
        <v>78</v>
      </c>
      <c r="D32" s="20"/>
      <c r="F32" s="39" t="s">
        <v>15</v>
      </c>
      <c r="G32" s="39"/>
      <c r="H32" s="38" t="s">
        <v>79</v>
      </c>
      <c r="I32" s="21">
        <v>12000</v>
      </c>
      <c r="J32" s="6"/>
      <c r="K32" s="6"/>
      <c r="L32" s="6"/>
      <c r="M32" s="6"/>
      <c r="N32" s="15"/>
      <c r="O32" s="6"/>
      <c r="P32" s="16"/>
      <c r="R32" s="39" t="s">
        <v>15</v>
      </c>
      <c r="S32" s="38"/>
      <c r="T32" s="38" t="s">
        <v>80</v>
      </c>
      <c r="U32" s="21">
        <v>24000</v>
      </c>
      <c r="V32" s="6"/>
      <c r="W32" s="6"/>
      <c r="X32" s="6"/>
      <c r="Y32" s="6" t="s">
        <v>81</v>
      </c>
      <c r="Z32" s="15"/>
      <c r="AA32" s="6"/>
      <c r="AB32" s="16"/>
      <c r="AD32" s="39" t="s">
        <v>15</v>
      </c>
      <c r="AE32" s="38"/>
      <c r="AF32" s="38" t="s">
        <v>82</v>
      </c>
      <c r="AG32" s="21">
        <v>36000</v>
      </c>
      <c r="AH32" s="6"/>
      <c r="AI32" s="6"/>
      <c r="AJ32" s="6"/>
      <c r="AK32" s="6"/>
      <c r="AL32" s="15"/>
      <c r="AM32" s="6"/>
      <c r="AN32" s="6"/>
      <c r="AO32" s="6"/>
    </row>
    <row r="33" spans="1:41" ht="15.75" customHeight="1">
      <c r="A33" s="6"/>
      <c r="B33" s="37" t="s">
        <v>83</v>
      </c>
      <c r="D33" s="20"/>
      <c r="F33" s="36"/>
      <c r="G33" s="6"/>
      <c r="H33" s="3" t="s">
        <v>84</v>
      </c>
      <c r="I33" s="40">
        <f>SUM(I30:I32)</f>
        <v>23237</v>
      </c>
      <c r="J33" s="6"/>
      <c r="K33" s="6"/>
      <c r="L33" s="6"/>
      <c r="M33" s="6"/>
      <c r="N33" s="15"/>
      <c r="O33" s="6"/>
      <c r="P33" s="16"/>
      <c r="R33" s="6"/>
      <c r="S33" s="6"/>
      <c r="T33" s="3" t="s">
        <v>84</v>
      </c>
      <c r="U33" s="40">
        <f>SUM(U30:U32)</f>
        <v>85126</v>
      </c>
      <c r="V33" s="6"/>
      <c r="W33" s="6"/>
      <c r="X33" s="6"/>
      <c r="Y33" s="6"/>
      <c r="Z33" s="15"/>
      <c r="AA33" s="6"/>
      <c r="AB33" s="16"/>
      <c r="AD33" s="6"/>
      <c r="AE33" s="6"/>
      <c r="AF33" s="3" t="s">
        <v>84</v>
      </c>
      <c r="AG33" s="40">
        <f>SUM(AG30:AG32)</f>
        <v>179317</v>
      </c>
      <c r="AH33" s="6"/>
      <c r="AI33" s="6"/>
      <c r="AJ33" s="6"/>
      <c r="AK33" s="6"/>
      <c r="AL33" s="15"/>
      <c r="AM33" s="6"/>
      <c r="AN33" s="6"/>
      <c r="AO33" s="6"/>
    </row>
    <row r="34" spans="1:41">
      <c r="A34" s="6"/>
      <c r="C34" s="6"/>
      <c r="D34" s="16"/>
      <c r="E34" s="6"/>
      <c r="F34" s="6"/>
      <c r="G34" s="6"/>
      <c r="H34" s="6"/>
      <c r="I34" s="6"/>
      <c r="J34" s="6"/>
      <c r="K34" s="6"/>
      <c r="L34" s="6"/>
      <c r="M34" s="6"/>
      <c r="N34" s="15"/>
      <c r="O34" s="6"/>
      <c r="P34" s="16"/>
      <c r="Q34" s="6"/>
      <c r="R34" s="6"/>
      <c r="S34" s="6"/>
      <c r="T34" s="6"/>
      <c r="U34" s="6"/>
      <c r="V34" s="6"/>
      <c r="W34" s="6"/>
      <c r="X34" s="6"/>
      <c r="Y34" s="6"/>
      <c r="Z34" s="15"/>
      <c r="AA34" s="6"/>
      <c r="AB34" s="16"/>
      <c r="AC34" s="6"/>
      <c r="AD34" s="6"/>
      <c r="AE34" s="6"/>
      <c r="AF34" s="6"/>
      <c r="AG34" s="6"/>
      <c r="AH34" s="6"/>
      <c r="AI34" s="6"/>
      <c r="AJ34" s="6"/>
      <c r="AK34" s="6"/>
      <c r="AL34" s="15"/>
      <c r="AM34" s="6"/>
      <c r="AN34" s="6"/>
      <c r="AO34" s="6"/>
    </row>
    <row r="35" spans="1:41" ht="15.75" customHeight="1">
      <c r="A35" s="6"/>
      <c r="B35" s="6"/>
      <c r="D35" s="20"/>
      <c r="F35" s="13"/>
      <c r="G35" s="13"/>
      <c r="H35" s="33" t="s">
        <v>85</v>
      </c>
      <c r="I35" s="32">
        <f>M25-I33</f>
        <v>322513</v>
      </c>
      <c r="J35" s="6" t="s">
        <v>86</v>
      </c>
      <c r="K35" s="6"/>
      <c r="L35" s="6"/>
      <c r="M35" s="6"/>
      <c r="N35" s="15"/>
      <c r="O35" s="6"/>
      <c r="P35" s="16"/>
      <c r="R35" s="13"/>
      <c r="S35" s="13"/>
      <c r="T35" s="31" t="s">
        <v>85</v>
      </c>
      <c r="U35" s="32">
        <f>Y25-U33</f>
        <v>1349374</v>
      </c>
      <c r="V35" s="6" t="s">
        <v>87</v>
      </c>
      <c r="W35" s="6"/>
      <c r="X35" s="6"/>
      <c r="Y35" s="6"/>
      <c r="Z35" s="15"/>
      <c r="AA35" s="6"/>
      <c r="AB35" s="16"/>
      <c r="AD35" s="13"/>
      <c r="AE35" s="13"/>
      <c r="AF35" s="33" t="s">
        <v>85</v>
      </c>
      <c r="AG35" s="34">
        <f>AK25-AG33</f>
        <v>3461183</v>
      </c>
      <c r="AH35" s="6" t="s">
        <v>88</v>
      </c>
      <c r="AI35" s="6"/>
      <c r="AJ35" s="6"/>
      <c r="AK35" s="6"/>
      <c r="AL35" s="15"/>
      <c r="AM35" s="6"/>
      <c r="AN35" s="6"/>
      <c r="AO35" s="6"/>
    </row>
    <row r="36" spans="1:41">
      <c r="A36" s="6"/>
      <c r="B36" s="6"/>
      <c r="C36" s="6"/>
      <c r="D36" s="16"/>
      <c r="E36" s="6"/>
      <c r="F36" s="6"/>
      <c r="G36" s="6"/>
      <c r="H36" s="6"/>
      <c r="I36" s="6"/>
      <c r="J36" s="6"/>
      <c r="K36" s="6"/>
      <c r="L36" s="6"/>
      <c r="M36" s="6"/>
      <c r="N36" s="15"/>
      <c r="O36" s="6"/>
      <c r="P36" s="16"/>
      <c r="Q36" s="6"/>
      <c r="R36" s="6"/>
      <c r="S36" s="6"/>
      <c r="T36" s="6"/>
      <c r="U36" s="6"/>
      <c r="V36" s="6"/>
      <c r="W36" s="6"/>
      <c r="X36" s="6"/>
      <c r="Y36" s="6"/>
      <c r="Z36" s="15"/>
      <c r="AA36" s="6"/>
      <c r="AB36" s="16"/>
      <c r="AC36" s="6"/>
      <c r="AD36" s="6"/>
      <c r="AE36" s="6"/>
      <c r="AF36" s="6"/>
      <c r="AG36" s="6"/>
      <c r="AH36" s="6"/>
      <c r="AI36" s="6"/>
      <c r="AJ36" s="6"/>
      <c r="AK36" s="6"/>
      <c r="AL36" s="15"/>
      <c r="AM36" s="6"/>
      <c r="AN36" s="6"/>
      <c r="AO36" s="6"/>
    </row>
    <row r="37" spans="1:41" ht="15">
      <c r="A37" s="6"/>
      <c r="B37" s="6"/>
      <c r="C37" s="13"/>
      <c r="D37" s="14"/>
      <c r="E37" s="13" t="s">
        <v>89</v>
      </c>
      <c r="F37" s="6"/>
      <c r="G37" s="6"/>
      <c r="H37" s="6"/>
      <c r="I37" s="6"/>
      <c r="J37" s="6"/>
      <c r="K37" s="6"/>
      <c r="L37" s="6"/>
      <c r="M37" s="6"/>
      <c r="N37" s="15"/>
      <c r="O37" s="6"/>
      <c r="P37" s="16"/>
      <c r="Q37" s="13" t="s">
        <v>89</v>
      </c>
      <c r="R37" s="6"/>
      <c r="S37" s="6"/>
      <c r="T37" s="6"/>
      <c r="U37" s="6"/>
      <c r="V37" s="6"/>
      <c r="W37" s="6"/>
      <c r="X37" s="6"/>
      <c r="Y37" s="6"/>
      <c r="Z37" s="15"/>
      <c r="AA37" s="6"/>
      <c r="AB37" s="16"/>
      <c r="AC37" s="13" t="s">
        <v>89</v>
      </c>
      <c r="AD37" s="6"/>
      <c r="AE37" s="6"/>
      <c r="AF37" s="6"/>
      <c r="AG37" s="6"/>
      <c r="AH37" s="6"/>
      <c r="AI37" s="6"/>
      <c r="AJ37" s="6"/>
      <c r="AK37" s="6"/>
      <c r="AL37" s="15"/>
      <c r="AM37" s="6"/>
      <c r="AN37" s="6"/>
      <c r="AO37" s="6"/>
    </row>
    <row r="38" spans="1:41" ht="14.25">
      <c r="A38" s="6"/>
      <c r="B38" s="6"/>
      <c r="C38" s="6"/>
      <c r="D38" s="16"/>
      <c r="E38" s="6"/>
      <c r="F38" s="6"/>
      <c r="G38" s="6"/>
      <c r="H38" s="6"/>
      <c r="I38" s="6"/>
      <c r="J38" s="6"/>
      <c r="K38" s="6"/>
      <c r="L38" s="6"/>
      <c r="M38" s="6"/>
      <c r="N38" s="15"/>
      <c r="O38" s="6"/>
      <c r="P38" s="16"/>
      <c r="Q38" s="6"/>
      <c r="R38" s="6"/>
      <c r="S38" s="6"/>
      <c r="T38" s="6"/>
      <c r="U38" s="6"/>
      <c r="V38" s="6"/>
      <c r="W38" s="6"/>
      <c r="X38" s="6"/>
      <c r="Y38" s="6"/>
      <c r="Z38" s="15"/>
      <c r="AA38" s="6"/>
      <c r="AB38" s="16"/>
      <c r="AC38" s="6"/>
      <c r="AD38" s="6"/>
      <c r="AE38" s="6"/>
      <c r="AF38" s="6"/>
      <c r="AG38" s="6"/>
      <c r="AH38" s="6"/>
      <c r="AI38" s="6"/>
      <c r="AJ38" s="6"/>
      <c r="AK38" s="6"/>
      <c r="AL38" s="15"/>
      <c r="AM38" s="6"/>
      <c r="AN38" s="6"/>
      <c r="AO38" s="6"/>
    </row>
    <row r="39" spans="1:41" ht="15">
      <c r="A39" s="6"/>
      <c r="B39" s="6"/>
      <c r="C39" s="13"/>
      <c r="D39" s="14"/>
      <c r="E39" s="13" t="s">
        <v>90</v>
      </c>
      <c r="F39" s="13"/>
      <c r="G39" s="13"/>
      <c r="H39" s="13" t="s">
        <v>91</v>
      </c>
      <c r="I39" s="13" t="str">
        <f>M16</f>
        <v>Total (Php)</v>
      </c>
      <c r="J39" s="6"/>
      <c r="K39" s="6"/>
      <c r="L39" s="6"/>
      <c r="M39" s="6"/>
      <c r="N39" s="15"/>
      <c r="O39" s="6"/>
      <c r="P39" s="16"/>
      <c r="Q39" s="13" t="s">
        <v>90</v>
      </c>
      <c r="R39" s="13"/>
      <c r="S39" s="13"/>
      <c r="T39" s="13" t="s">
        <v>91</v>
      </c>
      <c r="U39" s="13" t="str">
        <f>Y16</f>
        <v>Total (Php)</v>
      </c>
      <c r="V39" s="6"/>
      <c r="W39" s="6"/>
      <c r="X39" s="6"/>
      <c r="Y39" s="6"/>
      <c r="Z39" s="15"/>
      <c r="AA39" s="6"/>
      <c r="AB39" s="16"/>
      <c r="AC39" s="13" t="s">
        <v>90</v>
      </c>
      <c r="AD39" s="13"/>
      <c r="AE39" s="13"/>
      <c r="AF39" s="13" t="s">
        <v>91</v>
      </c>
      <c r="AG39" s="13" t="str">
        <f>AK16</f>
        <v>Total (Php)</v>
      </c>
      <c r="AH39" s="6"/>
      <c r="AI39" s="6"/>
      <c r="AJ39" s="6"/>
      <c r="AK39" s="6"/>
      <c r="AL39" s="15"/>
      <c r="AM39" s="6"/>
      <c r="AN39" s="6"/>
      <c r="AO39" s="6"/>
    </row>
    <row r="40" spans="1:41" ht="14.25">
      <c r="A40" s="6"/>
      <c r="B40" s="6"/>
      <c r="C40" s="6"/>
      <c r="D40" s="16"/>
      <c r="E40" s="6"/>
      <c r="F40" s="6"/>
      <c r="G40" s="6"/>
      <c r="H40" s="6"/>
      <c r="I40" s="6"/>
      <c r="J40" s="6"/>
      <c r="K40" s="6"/>
      <c r="L40" s="6"/>
      <c r="M40" s="6"/>
      <c r="N40" s="15"/>
      <c r="O40" s="6"/>
      <c r="P40" s="16"/>
      <c r="Q40" s="6"/>
      <c r="R40" s="6"/>
      <c r="S40" s="6"/>
      <c r="T40" s="6"/>
      <c r="U40" s="6"/>
      <c r="V40" s="6"/>
      <c r="W40" s="6"/>
      <c r="X40" s="6"/>
      <c r="Y40" s="6"/>
      <c r="Z40" s="15"/>
      <c r="AA40" s="6"/>
      <c r="AB40" s="16"/>
      <c r="AC40" s="6"/>
      <c r="AD40" s="6"/>
      <c r="AE40" s="6"/>
      <c r="AF40" s="6"/>
      <c r="AG40" s="6"/>
      <c r="AH40" s="6"/>
      <c r="AI40" s="6"/>
      <c r="AJ40" s="6"/>
      <c r="AK40" s="6"/>
      <c r="AL40" s="15"/>
      <c r="AM40" s="6"/>
      <c r="AN40" s="6"/>
      <c r="AO40" s="6"/>
    </row>
    <row r="41" spans="1:41" ht="15">
      <c r="A41" s="6"/>
      <c r="B41" s="6"/>
      <c r="C41" s="6"/>
      <c r="D41" s="16"/>
      <c r="E41" s="6"/>
      <c r="F41" s="13" t="s">
        <v>13</v>
      </c>
      <c r="G41" s="6"/>
      <c r="H41" s="6"/>
      <c r="I41" s="6"/>
      <c r="J41" s="6"/>
      <c r="K41" s="6"/>
      <c r="L41" s="6"/>
      <c r="M41" s="6"/>
      <c r="N41" s="15"/>
      <c r="O41" s="6"/>
      <c r="P41" s="16"/>
      <c r="Q41" s="6"/>
      <c r="R41" s="13" t="s">
        <v>13</v>
      </c>
      <c r="S41" s="6"/>
      <c r="T41" s="6"/>
      <c r="U41" s="6"/>
      <c r="V41" s="6"/>
      <c r="W41" s="6"/>
      <c r="X41" s="6"/>
      <c r="Y41" s="6"/>
      <c r="Z41" s="15"/>
      <c r="AA41" s="6"/>
      <c r="AB41" s="16"/>
      <c r="AC41" s="6"/>
      <c r="AD41" s="13" t="s">
        <v>13</v>
      </c>
      <c r="AE41" s="6"/>
      <c r="AF41" s="6"/>
      <c r="AG41" s="6"/>
      <c r="AH41" s="6"/>
      <c r="AI41" s="6"/>
      <c r="AJ41" s="6"/>
      <c r="AK41" s="6"/>
      <c r="AL41" s="15"/>
      <c r="AM41" s="6"/>
      <c r="AN41" s="6"/>
      <c r="AO41" s="6"/>
    </row>
    <row r="42" spans="1:41" ht="14.25">
      <c r="A42" s="6"/>
      <c r="B42" s="6"/>
      <c r="C42" s="6"/>
      <c r="D42" s="16"/>
      <c r="E42" s="6"/>
      <c r="F42" s="6"/>
      <c r="G42" s="39" t="s">
        <v>14</v>
      </c>
      <c r="H42" s="38" t="s">
        <v>92</v>
      </c>
      <c r="I42" s="21">
        <v>1650</v>
      </c>
      <c r="J42" s="6"/>
      <c r="K42" s="6"/>
      <c r="L42" s="6"/>
      <c r="M42" s="6"/>
      <c r="N42" s="15"/>
      <c r="O42" s="6"/>
      <c r="P42" s="16"/>
      <c r="Q42" s="6"/>
      <c r="R42" s="6"/>
      <c r="S42" s="38" t="s">
        <v>93</v>
      </c>
      <c r="T42" s="38" t="s">
        <v>94</v>
      </c>
      <c r="U42" s="21">
        <v>24000</v>
      </c>
      <c r="V42" s="6"/>
      <c r="W42" s="6"/>
      <c r="X42" s="6"/>
      <c r="Y42" s="6"/>
      <c r="Z42" s="15"/>
      <c r="AA42" s="6"/>
      <c r="AB42" s="16"/>
      <c r="AC42" s="6"/>
      <c r="AD42" s="6"/>
      <c r="AE42" s="38" t="s">
        <v>95</v>
      </c>
      <c r="AF42" s="38" t="s">
        <v>96</v>
      </c>
      <c r="AG42" s="21">
        <v>50000</v>
      </c>
      <c r="AH42" s="6"/>
      <c r="AI42" s="6"/>
      <c r="AJ42" s="6"/>
      <c r="AK42" s="6"/>
      <c r="AL42" s="15"/>
      <c r="AM42" s="6"/>
      <c r="AN42" s="6"/>
      <c r="AO42" s="6"/>
    </row>
    <row r="43" spans="1:41" ht="14.25">
      <c r="A43" s="6"/>
      <c r="B43" s="6"/>
      <c r="C43" s="6"/>
      <c r="D43" s="16"/>
      <c r="E43" s="6"/>
      <c r="F43" s="6"/>
      <c r="G43" s="38" t="s">
        <v>9</v>
      </c>
      <c r="H43" s="38" t="s">
        <v>97</v>
      </c>
      <c r="I43" s="21">
        <v>8000</v>
      </c>
      <c r="J43" s="6"/>
      <c r="K43" s="6"/>
      <c r="L43" s="6"/>
      <c r="M43" s="6"/>
      <c r="N43" s="15"/>
      <c r="O43" s="6"/>
      <c r="P43" s="16"/>
      <c r="Q43" s="6"/>
      <c r="R43" s="6"/>
      <c r="S43" s="38" t="s">
        <v>98</v>
      </c>
      <c r="T43" s="38" t="s">
        <v>99</v>
      </c>
      <c r="U43" s="21">
        <v>15000</v>
      </c>
      <c r="V43" s="6"/>
      <c r="W43" s="6"/>
      <c r="X43" s="6"/>
      <c r="Y43" s="6"/>
      <c r="Z43" s="15"/>
      <c r="AA43" s="6"/>
      <c r="AB43" s="16"/>
      <c r="AC43" s="6"/>
      <c r="AD43" s="6"/>
      <c r="AE43" s="38" t="s">
        <v>93</v>
      </c>
      <c r="AF43" s="38" t="s">
        <v>100</v>
      </c>
      <c r="AG43" s="21">
        <v>0</v>
      </c>
      <c r="AH43" s="6"/>
      <c r="AI43" s="6"/>
      <c r="AJ43" s="6"/>
      <c r="AK43" s="6"/>
      <c r="AL43" s="15"/>
      <c r="AM43" s="6"/>
      <c r="AN43" s="6"/>
      <c r="AO43" s="6"/>
    </row>
    <row r="44" spans="1:41" ht="15">
      <c r="A44" s="6"/>
      <c r="B44" s="6"/>
      <c r="C44" s="6"/>
      <c r="D44" s="16"/>
      <c r="E44" s="6"/>
      <c r="F44" s="6"/>
      <c r="G44" s="5" t="s">
        <v>16</v>
      </c>
      <c r="H44" s="30" t="s">
        <v>101</v>
      </c>
      <c r="I44" s="21">
        <v>5000</v>
      </c>
      <c r="J44" s="6"/>
      <c r="K44" s="6"/>
      <c r="L44" s="6"/>
      <c r="M44" s="6"/>
      <c r="N44" s="15"/>
      <c r="O44" s="6"/>
      <c r="P44" s="16"/>
      <c r="Q44" s="6"/>
      <c r="R44" s="6"/>
      <c r="S44" s="30"/>
      <c r="T44" s="30"/>
      <c r="U44" s="21"/>
      <c r="V44" s="6"/>
      <c r="W44" s="6"/>
      <c r="X44" s="6"/>
      <c r="Y44" s="6"/>
      <c r="Z44" s="15"/>
      <c r="AA44" s="6"/>
      <c r="AB44" s="16"/>
      <c r="AC44" s="6"/>
      <c r="AD44" s="6"/>
      <c r="AE44" s="38"/>
      <c r="AF44" s="38"/>
      <c r="AG44" s="21"/>
      <c r="AH44" s="6"/>
      <c r="AI44" s="6"/>
      <c r="AJ44" s="6"/>
      <c r="AK44" s="6"/>
      <c r="AL44" s="15"/>
      <c r="AM44" s="6"/>
      <c r="AN44" s="6"/>
      <c r="AO44" s="6"/>
    </row>
    <row r="45" spans="1:41" ht="15">
      <c r="A45" s="6"/>
      <c r="B45" s="6"/>
      <c r="C45" s="6"/>
      <c r="D45" s="16"/>
      <c r="E45" s="6"/>
      <c r="F45" s="6"/>
      <c r="G45" s="5" t="s">
        <v>17</v>
      </c>
      <c r="H45" s="30"/>
      <c r="I45" s="21">
        <v>13000</v>
      </c>
      <c r="J45" s="6"/>
      <c r="K45" s="6"/>
      <c r="L45" s="6"/>
      <c r="M45" s="6"/>
      <c r="N45" s="15"/>
      <c r="O45" s="6"/>
      <c r="P45" s="16"/>
      <c r="Q45" s="6"/>
      <c r="R45" s="6"/>
      <c r="S45" s="30"/>
      <c r="T45" s="30"/>
      <c r="U45" s="21"/>
      <c r="V45" s="6"/>
      <c r="W45" s="6"/>
      <c r="X45" s="6"/>
      <c r="Y45" s="6"/>
      <c r="Z45" s="15"/>
      <c r="AA45" s="6"/>
      <c r="AB45" s="16"/>
      <c r="AC45" s="6"/>
      <c r="AD45" s="6"/>
      <c r="AE45" s="38"/>
      <c r="AF45" s="38"/>
      <c r="AG45" s="21"/>
      <c r="AH45" s="6"/>
      <c r="AI45" s="6"/>
      <c r="AJ45" s="6"/>
      <c r="AK45" s="6"/>
      <c r="AL45" s="15"/>
      <c r="AM45" s="6"/>
      <c r="AN45" s="6"/>
      <c r="AO45" s="6"/>
    </row>
    <row r="46" spans="1:41" ht="15">
      <c r="A46" s="6"/>
      <c r="B46" s="6"/>
      <c r="C46" s="6"/>
      <c r="D46" s="16"/>
      <c r="E46" s="6"/>
      <c r="F46" s="6"/>
      <c r="G46" s="36"/>
      <c r="H46" s="36"/>
      <c r="I46" s="21"/>
      <c r="J46" s="6"/>
      <c r="K46" s="6"/>
      <c r="L46" s="6"/>
      <c r="M46" s="6"/>
      <c r="N46" s="15"/>
      <c r="O46" s="6"/>
      <c r="P46" s="16"/>
      <c r="Q46" s="6"/>
      <c r="R46" s="6"/>
      <c r="S46" s="36"/>
      <c r="T46" s="36"/>
      <c r="U46" s="21"/>
      <c r="V46" s="6"/>
      <c r="W46" s="6"/>
      <c r="X46" s="6"/>
      <c r="Y46" s="6"/>
      <c r="Z46" s="15"/>
      <c r="AA46" s="6"/>
      <c r="AB46" s="16"/>
      <c r="AC46" s="6"/>
      <c r="AD46" s="6"/>
      <c r="AE46" s="39" t="s">
        <v>17</v>
      </c>
      <c r="AF46" s="39" t="s">
        <v>102</v>
      </c>
      <c r="AG46" s="41">
        <v>25000</v>
      </c>
      <c r="AH46" s="6"/>
      <c r="AI46" s="6"/>
      <c r="AJ46" s="6"/>
      <c r="AK46" s="6"/>
      <c r="AL46" s="15"/>
      <c r="AM46" s="6"/>
      <c r="AN46" s="6"/>
      <c r="AO46" s="6"/>
    </row>
    <row r="47" spans="1:41">
      <c r="A47" s="6"/>
      <c r="B47" s="6"/>
      <c r="C47" s="6"/>
      <c r="D47" s="16"/>
      <c r="E47" s="6"/>
      <c r="F47" s="42" t="s">
        <v>23</v>
      </c>
      <c r="G47" s="42"/>
      <c r="H47" s="6"/>
      <c r="I47" s="21"/>
      <c r="J47" s="6"/>
      <c r="K47" s="6"/>
      <c r="L47" s="6"/>
      <c r="M47" s="6"/>
      <c r="N47" s="15"/>
      <c r="O47" s="6"/>
      <c r="P47" s="16"/>
      <c r="Q47" s="6"/>
      <c r="R47" s="42" t="s">
        <v>23</v>
      </c>
      <c r="S47" s="42"/>
      <c r="T47" s="6"/>
      <c r="U47" s="21"/>
      <c r="V47" s="6"/>
      <c r="W47" s="6"/>
      <c r="X47" s="6"/>
      <c r="Y47" s="6"/>
      <c r="Z47" s="15"/>
      <c r="AA47" s="6"/>
      <c r="AB47" s="16"/>
      <c r="AC47" s="6"/>
      <c r="AD47" s="6"/>
      <c r="AE47" s="36"/>
      <c r="AF47" s="36"/>
      <c r="AG47" s="43"/>
      <c r="AH47" s="6"/>
      <c r="AI47" s="6"/>
      <c r="AJ47" s="6"/>
      <c r="AK47" s="6"/>
      <c r="AL47" s="15"/>
      <c r="AM47" s="6"/>
      <c r="AN47" s="6"/>
      <c r="AO47" s="6"/>
    </row>
    <row r="48" spans="1:41">
      <c r="A48" s="6"/>
      <c r="B48" s="6"/>
      <c r="C48" s="6"/>
      <c r="D48" s="16"/>
      <c r="E48" s="6"/>
      <c r="F48" s="2"/>
      <c r="G48" s="39" t="s">
        <v>24</v>
      </c>
      <c r="H48" s="39" t="s">
        <v>103</v>
      </c>
      <c r="I48" s="21">
        <v>60000</v>
      </c>
      <c r="J48" s="6"/>
      <c r="K48" s="6"/>
      <c r="L48" s="6"/>
      <c r="M48" s="6"/>
      <c r="N48" s="15"/>
      <c r="O48" s="6"/>
      <c r="P48" s="16"/>
      <c r="Q48" s="6"/>
      <c r="R48" s="2"/>
      <c r="S48" s="39" t="s">
        <v>24</v>
      </c>
      <c r="T48" s="38" t="s">
        <v>104</v>
      </c>
      <c r="U48" s="21">
        <v>120000</v>
      </c>
      <c r="V48" s="6"/>
      <c r="W48" s="6"/>
      <c r="X48" s="6"/>
      <c r="Y48" s="6"/>
      <c r="Z48" s="15"/>
      <c r="AA48" s="6"/>
      <c r="AB48" s="16"/>
      <c r="AC48" s="6"/>
      <c r="AD48" s="2" t="s">
        <v>105</v>
      </c>
      <c r="AE48" s="36"/>
      <c r="AF48" s="36"/>
      <c r="AG48" s="44"/>
      <c r="AH48" s="6"/>
      <c r="AI48" s="6"/>
      <c r="AJ48" s="6"/>
      <c r="AK48" s="6"/>
      <c r="AL48" s="15"/>
      <c r="AM48" s="6"/>
      <c r="AN48" s="6"/>
      <c r="AO48" s="6"/>
    </row>
    <row r="49" spans="1:41" ht="15">
      <c r="A49" s="6"/>
      <c r="B49" s="6"/>
      <c r="C49" s="6"/>
      <c r="D49" s="16"/>
      <c r="E49" s="6"/>
      <c r="F49" s="6"/>
      <c r="G49" s="39" t="s">
        <v>106</v>
      </c>
      <c r="H49" s="39" t="s">
        <v>107</v>
      </c>
      <c r="I49" s="21">
        <v>60000</v>
      </c>
      <c r="J49" s="6"/>
      <c r="K49" s="6"/>
      <c r="L49" s="6"/>
      <c r="M49" s="6"/>
      <c r="N49" s="15"/>
      <c r="O49" s="6"/>
      <c r="P49" s="16"/>
      <c r="Q49" s="6"/>
      <c r="R49" s="6"/>
      <c r="S49" s="38" t="s">
        <v>108</v>
      </c>
      <c r="T49" s="38" t="s">
        <v>109</v>
      </c>
      <c r="U49" s="21">
        <v>30000</v>
      </c>
      <c r="V49" s="6"/>
      <c r="W49" s="6"/>
      <c r="X49" s="6"/>
      <c r="Y49" s="6"/>
      <c r="Z49" s="15"/>
      <c r="AA49" s="6"/>
      <c r="AB49" s="16"/>
      <c r="AC49" s="6"/>
      <c r="AD49" s="6"/>
      <c r="AE49" s="36" t="s">
        <v>110</v>
      </c>
      <c r="AF49" s="36" t="s">
        <v>111</v>
      </c>
      <c r="AG49" s="45">
        <v>240000</v>
      </c>
      <c r="AH49" s="6"/>
      <c r="AI49" s="6"/>
      <c r="AJ49" s="6"/>
      <c r="AK49" s="6"/>
      <c r="AL49" s="15"/>
      <c r="AM49" s="6"/>
      <c r="AN49" s="6"/>
      <c r="AO49" s="6"/>
    </row>
    <row r="50" spans="1:41" ht="15">
      <c r="A50" s="6"/>
      <c r="B50" s="6"/>
      <c r="C50" s="6"/>
      <c r="D50" s="16"/>
      <c r="E50" s="6"/>
      <c r="F50" s="6"/>
      <c r="G50" s="39" t="s">
        <v>26</v>
      </c>
      <c r="H50" s="39" t="s">
        <v>112</v>
      </c>
      <c r="I50" s="21">
        <v>20000</v>
      </c>
      <c r="J50" s="6"/>
      <c r="K50" s="6"/>
      <c r="L50" s="6"/>
      <c r="M50" s="6"/>
      <c r="N50" s="15"/>
      <c r="O50" s="6"/>
      <c r="P50" s="16"/>
      <c r="Q50" s="6"/>
      <c r="R50" s="6"/>
      <c r="S50" s="39" t="s">
        <v>113</v>
      </c>
      <c r="T50" s="39" t="s">
        <v>114</v>
      </c>
      <c r="U50" s="43">
        <v>72000</v>
      </c>
      <c r="V50" s="6"/>
      <c r="W50" s="6"/>
      <c r="X50" s="6"/>
      <c r="Y50" s="6"/>
      <c r="Z50" s="15"/>
      <c r="AA50" s="6"/>
      <c r="AB50" s="16"/>
      <c r="AC50" s="6"/>
      <c r="AD50" s="6"/>
      <c r="AE50" s="36" t="s">
        <v>115</v>
      </c>
      <c r="AF50" s="36" t="s">
        <v>116</v>
      </c>
      <c r="AG50" s="46">
        <v>60000</v>
      </c>
      <c r="AH50" s="6"/>
      <c r="AI50" s="6"/>
      <c r="AJ50" s="6"/>
      <c r="AK50" s="6"/>
      <c r="AL50" s="15"/>
      <c r="AM50" s="6"/>
      <c r="AN50" s="6"/>
      <c r="AO50" s="6"/>
    </row>
    <row r="51" spans="1:41" ht="15">
      <c r="A51" s="6"/>
      <c r="B51" s="6"/>
      <c r="C51" s="6"/>
      <c r="D51" s="16"/>
      <c r="E51" s="6"/>
      <c r="F51" s="6"/>
      <c r="G51" s="36"/>
      <c r="H51" s="36"/>
      <c r="I51" s="6"/>
      <c r="J51" s="6"/>
      <c r="K51" s="6"/>
      <c r="L51" s="6"/>
      <c r="M51" s="6"/>
      <c r="N51" s="15"/>
      <c r="O51" s="6"/>
      <c r="P51" s="16"/>
      <c r="Q51" s="6"/>
      <c r="R51" s="6"/>
      <c r="S51" s="39" t="s">
        <v>117</v>
      </c>
      <c r="T51" s="39" t="s">
        <v>118</v>
      </c>
      <c r="U51" s="43">
        <v>12000</v>
      </c>
      <c r="V51" s="6"/>
      <c r="W51" s="6"/>
      <c r="X51" s="6"/>
      <c r="Y51" s="6"/>
      <c r="Z51" s="15"/>
      <c r="AA51" s="6"/>
      <c r="AB51" s="16"/>
      <c r="AC51" s="6"/>
      <c r="AD51" s="6"/>
      <c r="AE51" s="36" t="s">
        <v>119</v>
      </c>
      <c r="AF51" s="36" t="s">
        <v>120</v>
      </c>
      <c r="AG51" s="46">
        <v>30000</v>
      </c>
      <c r="AH51" s="6"/>
      <c r="AI51" s="6"/>
      <c r="AJ51" s="6"/>
      <c r="AK51" s="6"/>
      <c r="AL51" s="15"/>
      <c r="AM51" s="6"/>
      <c r="AN51" s="6"/>
      <c r="AO51" s="6"/>
    </row>
    <row r="52" spans="1:41">
      <c r="A52" s="6"/>
      <c r="B52" s="6"/>
      <c r="C52" s="6"/>
      <c r="D52" s="16"/>
      <c r="E52" s="6"/>
      <c r="F52" s="42" t="s">
        <v>18</v>
      </c>
      <c r="G52" s="42"/>
      <c r="H52" s="6"/>
      <c r="I52" s="6"/>
      <c r="J52" s="6"/>
      <c r="K52" s="6"/>
      <c r="L52" s="6"/>
      <c r="M52" s="6"/>
      <c r="N52" s="15"/>
      <c r="O52" s="6"/>
      <c r="P52" s="16"/>
      <c r="Q52" s="6"/>
      <c r="R52" s="6"/>
      <c r="S52" s="39" t="s">
        <v>26</v>
      </c>
      <c r="T52" s="38" t="s">
        <v>121</v>
      </c>
      <c r="U52" s="43">
        <v>18000</v>
      </c>
      <c r="V52" s="6"/>
      <c r="W52" s="6"/>
      <c r="X52" s="6"/>
      <c r="Y52" s="6"/>
      <c r="Z52" s="15"/>
      <c r="AA52" s="6"/>
      <c r="AB52" s="16"/>
      <c r="AC52" s="6"/>
      <c r="AD52" s="6"/>
      <c r="AE52" s="36"/>
      <c r="AF52" s="36"/>
      <c r="AG52" s="44"/>
      <c r="AH52" s="6"/>
      <c r="AI52" s="6"/>
      <c r="AJ52" s="6"/>
      <c r="AK52" s="6"/>
      <c r="AL52" s="15"/>
      <c r="AM52" s="6"/>
      <c r="AN52" s="6"/>
      <c r="AO52" s="6"/>
    </row>
    <row r="53" spans="1:41">
      <c r="A53" s="6"/>
      <c r="B53" s="6"/>
      <c r="C53" s="6"/>
      <c r="D53" s="16"/>
      <c r="E53" s="6"/>
      <c r="F53" s="2"/>
      <c r="G53" s="39" t="s">
        <v>19</v>
      </c>
      <c r="H53" s="39" t="s">
        <v>122</v>
      </c>
      <c r="I53" s="21">
        <v>15000</v>
      </c>
      <c r="J53" s="6"/>
      <c r="K53" s="6"/>
      <c r="L53" s="6"/>
      <c r="M53" s="6"/>
      <c r="N53" s="15"/>
      <c r="O53" s="6"/>
      <c r="P53" s="16"/>
      <c r="Q53" s="6"/>
      <c r="R53" s="6"/>
      <c r="S53" s="36"/>
      <c r="T53" s="36"/>
      <c r="U53" s="39"/>
      <c r="V53" s="6"/>
      <c r="W53" s="6"/>
      <c r="X53" s="6"/>
      <c r="Y53" s="6"/>
      <c r="Z53" s="15"/>
      <c r="AA53" s="6"/>
      <c r="AB53" s="16"/>
      <c r="AC53" s="6"/>
      <c r="AD53" s="42" t="s">
        <v>23</v>
      </c>
      <c r="AE53" s="42"/>
      <c r="AF53" s="6"/>
      <c r="AG53" s="46"/>
      <c r="AH53" s="6"/>
      <c r="AI53" s="6"/>
      <c r="AJ53" s="6"/>
      <c r="AK53" s="6"/>
      <c r="AL53" s="15"/>
      <c r="AM53" s="6"/>
      <c r="AN53" s="6"/>
      <c r="AO53" s="6"/>
    </row>
    <row r="54" spans="1:41">
      <c r="A54" s="6"/>
      <c r="B54" s="6"/>
      <c r="C54" s="6"/>
      <c r="D54" s="16"/>
      <c r="E54" s="6"/>
      <c r="F54" s="6"/>
      <c r="G54" s="39" t="s">
        <v>123</v>
      </c>
      <c r="H54" s="39" t="s">
        <v>124</v>
      </c>
      <c r="I54" s="21">
        <v>8000</v>
      </c>
      <c r="J54" s="6"/>
      <c r="K54" s="6"/>
      <c r="L54" s="6"/>
      <c r="M54" s="6"/>
      <c r="N54" s="15"/>
      <c r="O54" s="6"/>
      <c r="P54" s="16"/>
      <c r="Q54" s="6"/>
      <c r="R54" s="47" t="s">
        <v>125</v>
      </c>
      <c r="S54" s="42"/>
      <c r="T54" s="6"/>
      <c r="U54" s="36"/>
      <c r="V54" s="6"/>
      <c r="W54" s="6"/>
      <c r="X54" s="6"/>
      <c r="Y54" s="6"/>
      <c r="Z54" s="15"/>
      <c r="AA54" s="6"/>
      <c r="AB54" s="16"/>
      <c r="AC54" s="6"/>
      <c r="AD54" s="2"/>
      <c r="AE54" s="38" t="s">
        <v>113</v>
      </c>
      <c r="AF54" s="38" t="s">
        <v>126</v>
      </c>
      <c r="AG54" s="21">
        <v>180000</v>
      </c>
      <c r="AH54" s="6"/>
      <c r="AI54" s="6"/>
      <c r="AJ54" s="6"/>
      <c r="AK54" s="6"/>
      <c r="AL54" s="15"/>
      <c r="AM54" s="6"/>
      <c r="AN54" s="6"/>
      <c r="AO54" s="6"/>
    </row>
    <row r="55" spans="1:41">
      <c r="A55" s="6"/>
      <c r="B55" s="6"/>
      <c r="C55" s="6"/>
      <c r="D55" s="16"/>
      <c r="E55" s="6"/>
      <c r="F55" s="6"/>
      <c r="G55" s="39" t="s">
        <v>127</v>
      </c>
      <c r="H55" s="39" t="s">
        <v>128</v>
      </c>
      <c r="I55" s="21">
        <v>5000</v>
      </c>
      <c r="J55" s="6"/>
      <c r="K55" s="6"/>
      <c r="L55" s="6"/>
      <c r="M55" s="6"/>
      <c r="N55" s="15"/>
      <c r="O55" s="6"/>
      <c r="P55" s="16"/>
      <c r="Q55" s="6"/>
      <c r="R55" s="2"/>
      <c r="S55" s="38" t="s">
        <v>30</v>
      </c>
      <c r="T55" s="38" t="s">
        <v>129</v>
      </c>
      <c r="U55" s="21">
        <v>24000</v>
      </c>
      <c r="V55" s="6"/>
      <c r="W55" s="6"/>
      <c r="X55" s="6"/>
      <c r="Y55" s="6"/>
      <c r="Z55" s="15"/>
      <c r="AA55" s="6"/>
      <c r="AB55" s="16"/>
      <c r="AC55" s="6"/>
      <c r="AD55" s="6"/>
      <c r="AE55" s="38" t="s">
        <v>130</v>
      </c>
      <c r="AF55" s="38" t="s">
        <v>131</v>
      </c>
      <c r="AG55" s="21">
        <v>60000</v>
      </c>
      <c r="AH55" s="6"/>
      <c r="AI55" s="6"/>
      <c r="AJ55" s="6"/>
      <c r="AK55" s="6"/>
      <c r="AL55" s="15"/>
      <c r="AM55" s="6"/>
      <c r="AN55" s="6"/>
      <c r="AO55" s="6"/>
    </row>
    <row r="56" spans="1:41" ht="15">
      <c r="A56" s="6"/>
      <c r="B56" s="6"/>
      <c r="C56" s="6"/>
      <c r="D56" s="16"/>
      <c r="E56" s="6"/>
      <c r="F56" s="6"/>
      <c r="G56" s="5" t="s">
        <v>21</v>
      </c>
      <c r="H56" s="4" t="s">
        <v>132</v>
      </c>
      <c r="I56" s="21">
        <v>2500</v>
      </c>
      <c r="J56" s="6"/>
      <c r="K56" s="6"/>
      <c r="L56" s="6"/>
      <c r="M56" s="6"/>
      <c r="N56" s="15"/>
      <c r="O56" s="6"/>
      <c r="P56" s="16"/>
      <c r="Q56" s="6"/>
      <c r="R56" s="6"/>
      <c r="S56" s="38" t="s">
        <v>133</v>
      </c>
      <c r="T56" s="38" t="s">
        <v>134</v>
      </c>
      <c r="U56" s="21">
        <v>12000</v>
      </c>
      <c r="V56" s="6"/>
      <c r="W56" s="6"/>
      <c r="X56" s="6"/>
      <c r="Y56" s="6"/>
      <c r="Z56" s="15"/>
      <c r="AA56" s="6"/>
      <c r="AB56" s="16"/>
      <c r="AC56" s="6"/>
      <c r="AD56" s="6"/>
      <c r="AE56" s="39" t="s">
        <v>117</v>
      </c>
      <c r="AF56" s="38" t="s">
        <v>135</v>
      </c>
      <c r="AG56" s="41">
        <v>24000</v>
      </c>
      <c r="AH56" s="6"/>
      <c r="AI56" s="6"/>
      <c r="AJ56" s="6"/>
      <c r="AK56" s="6"/>
      <c r="AL56" s="15"/>
      <c r="AM56" s="6"/>
      <c r="AN56" s="6"/>
      <c r="AO56" s="6"/>
    </row>
    <row r="57" spans="1:41" ht="15">
      <c r="A57" s="6"/>
      <c r="B57" s="6"/>
      <c r="C57" s="6"/>
      <c r="D57" s="16"/>
      <c r="E57" s="6"/>
      <c r="F57" s="6"/>
      <c r="G57" s="36"/>
      <c r="H57" s="36"/>
      <c r="I57" s="39"/>
      <c r="J57" s="6"/>
      <c r="K57" s="6"/>
      <c r="L57" s="6"/>
      <c r="M57" s="6"/>
      <c r="N57" s="15"/>
      <c r="O57" s="6"/>
      <c r="P57" s="16"/>
      <c r="Q57" s="6"/>
      <c r="R57" s="6"/>
      <c r="S57" s="36"/>
      <c r="T57" s="36"/>
      <c r="U57" s="39"/>
      <c r="V57" s="6"/>
      <c r="W57" s="6"/>
      <c r="X57" s="6"/>
      <c r="Y57" s="6"/>
      <c r="Z57" s="15"/>
      <c r="AA57" s="6"/>
      <c r="AB57" s="16"/>
      <c r="AC57" s="6"/>
      <c r="AD57" s="6"/>
      <c r="AE57" s="36"/>
      <c r="AF57" s="36"/>
      <c r="AG57" s="39"/>
      <c r="AH57" s="6"/>
      <c r="AI57" s="6"/>
      <c r="AJ57" s="6"/>
      <c r="AK57" s="6"/>
      <c r="AL57" s="15"/>
      <c r="AM57" s="6"/>
      <c r="AN57" s="6"/>
      <c r="AO57" s="6"/>
    </row>
    <row r="58" spans="1:41">
      <c r="A58" s="6"/>
      <c r="B58" s="6"/>
      <c r="C58" s="6"/>
      <c r="D58" s="16"/>
      <c r="E58" s="6"/>
      <c r="F58" s="42" t="s">
        <v>27</v>
      </c>
      <c r="G58" s="42"/>
      <c r="H58" s="6"/>
      <c r="I58" s="36"/>
      <c r="J58" s="6"/>
      <c r="K58" s="6"/>
      <c r="L58" s="6"/>
      <c r="M58" s="6"/>
      <c r="N58" s="15"/>
      <c r="O58" s="6"/>
      <c r="P58" s="16"/>
      <c r="Q58" s="6"/>
      <c r="R58" s="42" t="s">
        <v>27</v>
      </c>
      <c r="S58" s="42"/>
      <c r="T58" s="6"/>
      <c r="U58" s="36"/>
      <c r="V58" s="6"/>
      <c r="W58" s="6"/>
      <c r="X58" s="6"/>
      <c r="Y58" s="6"/>
      <c r="Z58" s="15"/>
      <c r="AA58" s="6"/>
      <c r="AB58" s="16"/>
      <c r="AC58" s="6"/>
      <c r="AD58" s="47" t="s">
        <v>125</v>
      </c>
      <c r="AE58" s="42"/>
      <c r="AF58" s="6"/>
      <c r="AG58" s="36"/>
      <c r="AH58" s="6"/>
      <c r="AI58" s="6"/>
      <c r="AJ58" s="6"/>
      <c r="AK58" s="6"/>
      <c r="AL58" s="15"/>
      <c r="AM58" s="6"/>
      <c r="AN58" s="6"/>
      <c r="AO58" s="6"/>
    </row>
    <row r="59" spans="1:41">
      <c r="A59" s="6"/>
      <c r="B59" s="6"/>
      <c r="C59" s="6"/>
      <c r="D59" s="16"/>
      <c r="E59" s="6"/>
      <c r="F59" s="2"/>
      <c r="G59" s="38" t="s">
        <v>28</v>
      </c>
      <c r="H59" s="39" t="s">
        <v>136</v>
      </c>
      <c r="I59" s="21">
        <v>180000</v>
      </c>
      <c r="J59" s="6"/>
      <c r="K59" s="6"/>
      <c r="L59" s="6"/>
      <c r="M59" s="6"/>
      <c r="N59" s="15"/>
      <c r="O59" s="6"/>
      <c r="P59" s="16"/>
      <c r="Q59" s="6"/>
      <c r="R59" s="2"/>
      <c r="S59" s="38" t="s">
        <v>28</v>
      </c>
      <c r="T59" s="38" t="s">
        <v>137</v>
      </c>
      <c r="U59" s="21">
        <v>360000</v>
      </c>
      <c r="V59" s="6"/>
      <c r="W59" s="6"/>
      <c r="X59" s="6"/>
      <c r="Y59" s="6"/>
      <c r="Z59" s="15"/>
      <c r="AA59" s="6"/>
      <c r="AB59" s="16"/>
      <c r="AC59" s="6"/>
      <c r="AD59" s="2"/>
      <c r="AE59" s="38" t="s">
        <v>30</v>
      </c>
      <c r="AF59" s="38" t="s">
        <v>129</v>
      </c>
      <c r="AG59" s="21">
        <v>36000</v>
      </c>
      <c r="AH59" s="6"/>
      <c r="AI59" s="6"/>
      <c r="AJ59" s="6"/>
      <c r="AK59" s="6"/>
      <c r="AL59" s="15"/>
      <c r="AM59" s="6"/>
      <c r="AN59" s="6"/>
      <c r="AO59" s="6"/>
    </row>
    <row r="60" spans="1:41" ht="14.25">
      <c r="A60" s="6"/>
      <c r="B60" s="6"/>
      <c r="C60" s="6"/>
      <c r="D60" s="16"/>
      <c r="E60" s="6"/>
      <c r="F60" s="6"/>
      <c r="G60" s="39" t="s">
        <v>29</v>
      </c>
      <c r="H60" s="39" t="s">
        <v>138</v>
      </c>
      <c r="I60" s="21">
        <v>30000</v>
      </c>
      <c r="J60" s="6"/>
      <c r="K60" s="6"/>
      <c r="L60" s="6"/>
      <c r="M60" s="6"/>
      <c r="N60" s="15"/>
      <c r="O60" s="6"/>
      <c r="P60" s="16"/>
      <c r="Q60" s="6"/>
      <c r="R60" s="6"/>
      <c r="S60" s="39" t="s">
        <v>29</v>
      </c>
      <c r="T60" s="39" t="s">
        <v>138</v>
      </c>
      <c r="U60" s="21">
        <v>42000</v>
      </c>
      <c r="V60" s="6"/>
      <c r="W60" s="6"/>
      <c r="X60" s="6"/>
      <c r="Y60" s="6"/>
      <c r="Z60" s="15"/>
      <c r="AA60" s="6"/>
      <c r="AB60" s="16"/>
      <c r="AC60" s="6"/>
      <c r="AD60" s="6"/>
      <c r="AE60" s="38" t="s">
        <v>139</v>
      </c>
      <c r="AF60" s="38" t="s">
        <v>140</v>
      </c>
      <c r="AG60" s="21">
        <v>24000</v>
      </c>
      <c r="AH60" s="6"/>
      <c r="AI60" s="6"/>
      <c r="AJ60" s="6"/>
      <c r="AK60" s="6"/>
      <c r="AL60" s="15"/>
      <c r="AM60" s="6"/>
      <c r="AN60" s="6"/>
      <c r="AO60" s="6"/>
    </row>
    <row r="61" spans="1:41" ht="15">
      <c r="A61" s="6"/>
      <c r="B61" s="6"/>
      <c r="C61" s="6"/>
      <c r="D61" s="16"/>
      <c r="E61" s="6"/>
      <c r="F61" s="6"/>
      <c r="G61" s="39" t="s">
        <v>141</v>
      </c>
      <c r="H61" s="39" t="s">
        <v>142</v>
      </c>
      <c r="I61" s="21">
        <v>18000</v>
      </c>
      <c r="J61" s="6"/>
      <c r="K61" s="6"/>
      <c r="L61" s="6"/>
      <c r="M61" s="6"/>
      <c r="N61" s="15"/>
      <c r="O61" s="6"/>
      <c r="P61" s="16"/>
      <c r="Q61" s="6"/>
      <c r="R61" s="6"/>
      <c r="S61" s="38" t="s">
        <v>143</v>
      </c>
      <c r="T61" s="38" t="s">
        <v>144</v>
      </c>
      <c r="U61" s="21">
        <v>60000</v>
      </c>
      <c r="V61" s="6"/>
      <c r="W61" s="6"/>
      <c r="X61" s="6"/>
      <c r="Y61" s="6"/>
      <c r="Z61" s="15"/>
      <c r="AA61" s="6"/>
      <c r="AB61" s="16"/>
      <c r="AC61" s="6"/>
      <c r="AD61" s="6"/>
      <c r="AE61" s="36"/>
      <c r="AF61" s="36"/>
      <c r="AG61" s="39"/>
      <c r="AH61" s="6"/>
      <c r="AI61" s="6"/>
      <c r="AJ61" s="6"/>
      <c r="AK61" s="6"/>
      <c r="AL61" s="15"/>
      <c r="AM61" s="6"/>
      <c r="AN61" s="6"/>
      <c r="AO61" s="6"/>
    </row>
    <row r="62" spans="1:41">
      <c r="A62" s="6"/>
      <c r="B62" s="6"/>
      <c r="C62" s="6"/>
      <c r="D62" s="16"/>
      <c r="E62" s="6"/>
      <c r="F62" s="6"/>
      <c r="G62" s="36"/>
      <c r="H62" s="36"/>
      <c r="I62" s="21"/>
      <c r="J62" s="6"/>
      <c r="K62" s="6"/>
      <c r="L62" s="6"/>
      <c r="M62" s="6"/>
      <c r="N62" s="15"/>
      <c r="O62" s="6"/>
      <c r="P62" s="16"/>
      <c r="Q62" s="6"/>
      <c r="R62" s="6"/>
      <c r="S62" s="36"/>
      <c r="T62" s="36"/>
      <c r="U62" s="21"/>
      <c r="V62" s="6"/>
      <c r="W62" s="6"/>
      <c r="X62" s="6"/>
      <c r="Y62" s="6"/>
      <c r="Z62" s="15"/>
      <c r="AA62" s="6"/>
      <c r="AB62" s="16"/>
      <c r="AC62" s="6"/>
      <c r="AD62" s="42" t="s">
        <v>27</v>
      </c>
      <c r="AE62" s="42"/>
      <c r="AF62" s="6"/>
      <c r="AG62" s="36"/>
      <c r="AH62" s="6"/>
      <c r="AI62" s="6"/>
      <c r="AJ62" s="6"/>
      <c r="AK62" s="6"/>
      <c r="AL62" s="15"/>
      <c r="AM62" s="6"/>
      <c r="AN62" s="6"/>
      <c r="AO62" s="6"/>
    </row>
    <row r="63" spans="1:41">
      <c r="A63" s="6"/>
      <c r="B63" s="6"/>
      <c r="C63" s="6"/>
      <c r="D63" s="16"/>
      <c r="E63" s="6"/>
      <c r="F63" s="48" t="s">
        <v>31</v>
      </c>
      <c r="G63" s="6"/>
      <c r="H63" s="29" t="s">
        <v>145</v>
      </c>
      <c r="I63" s="21">
        <v>15000</v>
      </c>
      <c r="J63" s="6"/>
      <c r="K63" s="6"/>
      <c r="L63" s="6"/>
      <c r="M63" s="6"/>
      <c r="N63" s="15"/>
      <c r="O63" s="6"/>
      <c r="P63" s="16"/>
      <c r="Q63" s="6"/>
      <c r="R63" s="48" t="s">
        <v>31</v>
      </c>
      <c r="S63" s="6"/>
      <c r="T63" s="29" t="s">
        <v>145</v>
      </c>
      <c r="U63" s="21">
        <v>15000</v>
      </c>
      <c r="V63" s="6"/>
      <c r="W63" s="6"/>
      <c r="X63" s="6"/>
      <c r="Y63" s="6"/>
      <c r="Z63" s="15"/>
      <c r="AA63" s="6"/>
      <c r="AB63" s="16"/>
      <c r="AC63" s="6"/>
      <c r="AD63" s="2"/>
      <c r="AE63" s="38" t="s">
        <v>146</v>
      </c>
      <c r="AF63" s="38" t="s">
        <v>147</v>
      </c>
      <c r="AG63" s="21">
        <v>720000</v>
      </c>
      <c r="AH63" s="6"/>
      <c r="AI63" s="6"/>
      <c r="AJ63" s="6"/>
      <c r="AK63" s="6"/>
      <c r="AL63" s="15"/>
      <c r="AM63" s="6"/>
      <c r="AN63" s="6"/>
      <c r="AO63" s="6"/>
    </row>
    <row r="64" spans="1:41">
      <c r="A64" s="6"/>
      <c r="B64" s="6"/>
      <c r="C64" s="6"/>
      <c r="D64" s="16"/>
      <c r="E64" s="6"/>
      <c r="F64" s="6"/>
      <c r="G64" s="6"/>
      <c r="H64" s="49" t="s">
        <v>148</v>
      </c>
      <c r="I64" s="32">
        <f>SUM(I42:I63)</f>
        <v>441150</v>
      </c>
      <c r="J64" s="6"/>
      <c r="K64" s="6"/>
      <c r="L64" s="6"/>
      <c r="M64" s="6"/>
      <c r="N64" s="15"/>
      <c r="O64" s="6"/>
      <c r="P64" s="16"/>
      <c r="Q64" s="6"/>
      <c r="R64" s="6"/>
      <c r="S64" s="6"/>
      <c r="T64" s="50" t="s">
        <v>148</v>
      </c>
      <c r="U64" s="34">
        <f>SUM(U42:U63)</f>
        <v>804000</v>
      </c>
      <c r="V64" s="6"/>
      <c r="W64" s="6"/>
      <c r="X64" s="6"/>
      <c r="Y64" s="6"/>
      <c r="Z64" s="15"/>
      <c r="AA64" s="6"/>
      <c r="AB64" s="16"/>
      <c r="AC64" s="6"/>
      <c r="AD64" s="6"/>
      <c r="AE64" s="38" t="s">
        <v>149</v>
      </c>
      <c r="AF64" s="38" t="s">
        <v>150</v>
      </c>
      <c r="AG64" s="21">
        <v>360000</v>
      </c>
      <c r="AH64" s="6"/>
      <c r="AI64" s="6"/>
      <c r="AJ64" s="6"/>
      <c r="AK64" s="6"/>
      <c r="AL64" s="15"/>
      <c r="AM64" s="6"/>
      <c r="AN64" s="6"/>
      <c r="AO64" s="6"/>
    </row>
    <row r="65" spans="1:41" ht="14.25">
      <c r="A65" s="6"/>
      <c r="B65" s="6"/>
      <c r="C65" s="6"/>
      <c r="D65" s="16"/>
      <c r="E65" s="6"/>
      <c r="F65" s="6"/>
      <c r="G65" s="6"/>
      <c r="H65" s="6"/>
      <c r="I65" s="6"/>
      <c r="J65" s="6"/>
      <c r="K65" s="6"/>
      <c r="L65" s="6"/>
      <c r="M65" s="6"/>
      <c r="N65" s="15"/>
      <c r="O65" s="6"/>
      <c r="P65" s="16"/>
      <c r="Q65" s="6"/>
      <c r="R65" s="6"/>
      <c r="S65" s="6"/>
      <c r="T65" s="6"/>
      <c r="U65" s="6"/>
      <c r="V65" s="6"/>
      <c r="W65" s="6"/>
      <c r="X65" s="6"/>
      <c r="Y65" s="6"/>
      <c r="Z65" s="15"/>
      <c r="AA65" s="6"/>
      <c r="AB65" s="16"/>
      <c r="AC65" s="6"/>
      <c r="AD65" s="6"/>
      <c r="AE65" s="38" t="s">
        <v>151</v>
      </c>
      <c r="AF65" s="38" t="s">
        <v>152</v>
      </c>
      <c r="AG65" s="21">
        <v>120000</v>
      </c>
      <c r="AH65" s="6"/>
      <c r="AI65" s="6"/>
      <c r="AJ65" s="6"/>
      <c r="AK65" s="6"/>
      <c r="AL65" s="15"/>
      <c r="AM65" s="6"/>
      <c r="AN65" s="6"/>
      <c r="AO65" s="6"/>
    </row>
    <row r="66" spans="1:41">
      <c r="A66" s="6"/>
      <c r="B66" s="6"/>
      <c r="C66" s="13"/>
      <c r="D66" s="14"/>
      <c r="E66" s="13" t="s">
        <v>153</v>
      </c>
      <c r="F66" s="6"/>
      <c r="G66" s="6"/>
      <c r="H66" s="6"/>
      <c r="I66" s="6"/>
      <c r="J66" s="6"/>
      <c r="K66" s="6"/>
      <c r="L66" s="6"/>
      <c r="M66" s="6"/>
      <c r="N66" s="15"/>
      <c r="O66" s="6"/>
      <c r="P66" s="16"/>
      <c r="Q66" s="13" t="s">
        <v>153</v>
      </c>
      <c r="R66" s="6"/>
      <c r="S66" s="6"/>
      <c r="T66" s="6"/>
      <c r="U66" s="6"/>
      <c r="V66" s="6"/>
      <c r="W66" s="6"/>
      <c r="X66" s="6"/>
      <c r="Y66" s="6"/>
      <c r="Z66" s="15"/>
      <c r="AA66" s="6"/>
      <c r="AB66" s="16"/>
      <c r="AC66" s="6"/>
      <c r="AD66" s="6"/>
      <c r="AE66" s="36"/>
      <c r="AF66" s="36"/>
      <c r="AG66" s="21"/>
      <c r="AH66" s="6"/>
      <c r="AI66" s="6"/>
      <c r="AJ66" s="6"/>
      <c r="AK66" s="6"/>
      <c r="AL66" s="15"/>
      <c r="AM66" s="6"/>
      <c r="AN66" s="6"/>
      <c r="AO66" s="6"/>
    </row>
    <row r="67" spans="1:41" ht="15">
      <c r="A67" s="6"/>
      <c r="B67" s="6"/>
      <c r="C67" s="6"/>
      <c r="D67" s="16"/>
      <c r="E67" s="6"/>
      <c r="F67" s="6"/>
      <c r="G67" s="6"/>
      <c r="H67" s="6"/>
      <c r="I67" s="6"/>
      <c r="J67" s="6"/>
      <c r="K67" s="6"/>
      <c r="L67" s="6"/>
      <c r="M67" s="6"/>
      <c r="N67" s="15"/>
      <c r="O67" s="6"/>
      <c r="P67" s="16"/>
      <c r="Q67" s="6"/>
      <c r="R67" s="6"/>
      <c r="S67" s="6"/>
      <c r="T67" s="6"/>
      <c r="U67" s="6"/>
      <c r="V67" s="6"/>
      <c r="W67" s="6"/>
      <c r="X67" s="6"/>
      <c r="Y67" s="6"/>
      <c r="Z67" s="15"/>
      <c r="AA67" s="6"/>
      <c r="AB67" s="16"/>
      <c r="AC67" s="6"/>
      <c r="AD67" s="48" t="s">
        <v>31</v>
      </c>
      <c r="AE67" s="6"/>
      <c r="AF67" s="30" t="s">
        <v>154</v>
      </c>
      <c r="AG67" s="21">
        <v>15000</v>
      </c>
      <c r="AH67" s="6"/>
      <c r="AI67" s="6"/>
      <c r="AJ67" s="6"/>
      <c r="AK67" s="6"/>
      <c r="AL67" s="15"/>
      <c r="AM67" s="6"/>
      <c r="AN67" s="6"/>
      <c r="AO67" s="6"/>
    </row>
    <row r="68" spans="1:41">
      <c r="A68" s="6"/>
      <c r="B68" s="6"/>
      <c r="D68" s="20"/>
      <c r="F68" s="13" t="s">
        <v>155</v>
      </c>
      <c r="H68" s="21">
        <f>I35-I64</f>
        <v>-118637</v>
      </c>
      <c r="I68" s="6"/>
      <c r="J68" s="6"/>
      <c r="K68" s="6"/>
      <c r="L68" s="6"/>
      <c r="M68" s="6"/>
      <c r="N68" s="15"/>
      <c r="O68" s="6"/>
      <c r="P68" s="16"/>
      <c r="R68" s="13" t="s">
        <v>155</v>
      </c>
      <c r="T68" s="21">
        <f>U35-U64</f>
        <v>545374</v>
      </c>
      <c r="U68" s="6"/>
      <c r="V68" s="6"/>
      <c r="W68" s="6"/>
      <c r="X68" s="6"/>
      <c r="Y68" s="6"/>
      <c r="Z68" s="15"/>
      <c r="AA68" s="6"/>
      <c r="AB68" s="16"/>
      <c r="AC68" s="6"/>
      <c r="AD68" s="6"/>
      <c r="AE68" s="6"/>
      <c r="AF68" s="50" t="s">
        <v>148</v>
      </c>
      <c r="AG68" s="34">
        <f>SUM(AG42:AG67)</f>
        <v>1944000</v>
      </c>
      <c r="AH68" s="6"/>
      <c r="AI68" s="6"/>
      <c r="AJ68" s="6"/>
      <c r="AK68" s="6"/>
      <c r="AL68" s="15"/>
      <c r="AM68" s="6"/>
      <c r="AN68" s="6"/>
      <c r="AO68" s="6"/>
    </row>
    <row r="69" spans="1:41" ht="15">
      <c r="A69" s="6"/>
      <c r="B69" s="6"/>
      <c r="C69" s="6"/>
      <c r="D69" s="16"/>
      <c r="E69" s="6"/>
      <c r="F69" s="13" t="s">
        <v>156</v>
      </c>
      <c r="G69" s="6"/>
      <c r="H69" s="21">
        <v>0</v>
      </c>
      <c r="I69" s="6"/>
      <c r="J69" s="6"/>
      <c r="K69" s="6"/>
      <c r="L69" s="6"/>
      <c r="M69" s="6"/>
      <c r="N69" s="15"/>
      <c r="O69" s="6"/>
      <c r="P69" s="16"/>
      <c r="Q69" s="6"/>
      <c r="R69" s="13" t="s">
        <v>156</v>
      </c>
      <c r="S69" s="6"/>
      <c r="T69" s="21">
        <v>0</v>
      </c>
      <c r="U69" s="6"/>
      <c r="V69" s="6"/>
      <c r="W69" s="6"/>
      <c r="X69" s="6"/>
      <c r="Y69" s="6"/>
      <c r="Z69" s="15"/>
      <c r="AA69" s="6"/>
      <c r="AB69" s="16"/>
      <c r="AC69" s="6"/>
      <c r="AD69" s="6"/>
      <c r="AE69" s="6"/>
      <c r="AF69" s="6"/>
      <c r="AG69" s="6"/>
      <c r="AH69" s="6"/>
      <c r="AI69" s="6"/>
      <c r="AJ69" s="6"/>
      <c r="AK69" s="6"/>
      <c r="AL69" s="15"/>
      <c r="AM69" s="6"/>
      <c r="AN69" s="6"/>
      <c r="AO69" s="6"/>
    </row>
    <row r="70" spans="1:41" ht="15">
      <c r="A70" s="6"/>
      <c r="B70" s="6"/>
      <c r="C70" s="6"/>
      <c r="D70" s="16"/>
      <c r="E70" s="6"/>
      <c r="F70" s="13" t="s">
        <v>157</v>
      </c>
      <c r="G70" s="6"/>
      <c r="H70" s="21">
        <v>0</v>
      </c>
      <c r="I70" s="6"/>
      <c r="J70" s="6"/>
      <c r="K70" s="6"/>
      <c r="L70" s="6"/>
      <c r="M70" s="6"/>
      <c r="N70" s="15"/>
      <c r="O70" s="6"/>
      <c r="P70" s="16"/>
      <c r="Q70" s="6"/>
      <c r="R70" s="13" t="s">
        <v>157</v>
      </c>
      <c r="S70" s="6"/>
      <c r="T70" s="21">
        <v>115562</v>
      </c>
      <c r="U70" s="6"/>
      <c r="V70" s="6"/>
      <c r="W70" s="6"/>
      <c r="X70" s="6"/>
      <c r="Y70" s="6"/>
      <c r="Z70" s="15"/>
      <c r="AA70" s="6"/>
      <c r="AB70" s="16"/>
      <c r="AC70" s="13" t="s">
        <v>153</v>
      </c>
      <c r="AD70" s="6"/>
      <c r="AE70" s="6"/>
      <c r="AF70" s="6"/>
      <c r="AG70" s="6"/>
      <c r="AH70" s="6"/>
      <c r="AI70" s="6"/>
      <c r="AJ70" s="6"/>
      <c r="AK70" s="6"/>
      <c r="AL70" s="15"/>
      <c r="AM70" s="6"/>
      <c r="AN70" s="6"/>
      <c r="AO70" s="6"/>
    </row>
    <row r="71" spans="1:41" ht="15">
      <c r="A71" s="6"/>
      <c r="B71" s="6"/>
      <c r="C71" s="6"/>
      <c r="D71" s="16"/>
      <c r="E71" s="6"/>
      <c r="F71" s="6"/>
      <c r="G71" s="6"/>
      <c r="H71" s="6"/>
      <c r="I71" s="6"/>
      <c r="J71" s="6"/>
      <c r="K71" s="6"/>
      <c r="L71" s="6"/>
      <c r="M71" s="6"/>
      <c r="N71" s="15"/>
      <c r="O71" s="6"/>
      <c r="P71" s="16"/>
      <c r="Q71" s="6"/>
      <c r="R71" s="13" t="s">
        <v>158</v>
      </c>
      <c r="S71" s="6"/>
      <c r="T71" s="51">
        <f>T68-T69</f>
        <v>545374</v>
      </c>
      <c r="U71" s="6"/>
      <c r="V71" s="6"/>
      <c r="W71" s="6"/>
      <c r="X71" s="6"/>
      <c r="Y71" s="6"/>
      <c r="Z71" s="15"/>
      <c r="AA71" s="6"/>
      <c r="AB71" s="16"/>
      <c r="AC71" s="6"/>
      <c r="AD71" s="6"/>
      <c r="AE71" s="6"/>
      <c r="AF71" s="6"/>
      <c r="AG71" s="6"/>
      <c r="AH71" s="6"/>
      <c r="AI71" s="6"/>
      <c r="AJ71" s="6"/>
      <c r="AK71" s="6"/>
      <c r="AL71" s="15"/>
      <c r="AM71" s="6"/>
      <c r="AN71" s="6"/>
      <c r="AO71" s="6"/>
    </row>
    <row r="72" spans="1:41" ht="15">
      <c r="A72" s="6"/>
      <c r="B72" s="6"/>
      <c r="C72" s="6"/>
      <c r="D72" s="16"/>
      <c r="E72" s="6"/>
      <c r="F72" s="52" t="s">
        <v>159</v>
      </c>
      <c r="G72" s="53"/>
      <c r="H72" s="54">
        <f>H68</f>
        <v>-118637</v>
      </c>
      <c r="I72" s="6"/>
      <c r="J72" s="6"/>
      <c r="K72" s="6"/>
      <c r="L72" s="6"/>
      <c r="M72" s="6"/>
      <c r="N72" s="15"/>
      <c r="O72" s="6"/>
      <c r="P72" s="16"/>
      <c r="Q72" s="6"/>
      <c r="U72" s="6"/>
      <c r="V72" s="6"/>
      <c r="W72" s="6"/>
      <c r="X72" s="6"/>
      <c r="Y72" s="6"/>
      <c r="Z72" s="15"/>
      <c r="AA72" s="6"/>
      <c r="AB72" s="16"/>
      <c r="AD72" s="13" t="s">
        <v>155</v>
      </c>
      <c r="AF72" s="21">
        <f>AG35-AG68</f>
        <v>1517183</v>
      </c>
      <c r="AG72" s="6"/>
      <c r="AH72" s="6"/>
      <c r="AI72" s="6"/>
      <c r="AJ72" s="6"/>
      <c r="AK72" s="6"/>
      <c r="AL72" s="15"/>
      <c r="AM72" s="6"/>
      <c r="AN72" s="6"/>
      <c r="AO72" s="6"/>
    </row>
    <row r="73" spans="1:41">
      <c r="A73" s="6"/>
      <c r="B73" s="6"/>
      <c r="C73" s="6"/>
      <c r="D73" s="55"/>
      <c r="E73" s="56"/>
      <c r="F73" s="56"/>
      <c r="G73" s="56"/>
      <c r="H73" s="56"/>
      <c r="I73" s="56"/>
      <c r="J73" s="56"/>
      <c r="K73" s="56"/>
      <c r="L73" s="56"/>
      <c r="M73" s="56"/>
      <c r="N73" s="57"/>
      <c r="O73" s="6"/>
      <c r="P73" s="16"/>
      <c r="Q73" s="6"/>
      <c r="R73" s="58" t="s">
        <v>160</v>
      </c>
      <c r="S73" s="59"/>
      <c r="T73" s="60">
        <f>T71-T70</f>
        <v>429812</v>
      </c>
      <c r="U73" s="6"/>
      <c r="V73" s="6"/>
      <c r="W73" s="6"/>
      <c r="X73" s="6"/>
      <c r="Y73" s="6"/>
      <c r="Z73" s="15"/>
      <c r="AA73" s="6"/>
      <c r="AB73" s="16"/>
      <c r="AC73" s="6"/>
      <c r="AD73" s="13" t="s">
        <v>161</v>
      </c>
      <c r="AE73" s="6"/>
      <c r="AF73" s="45">
        <v>436860</v>
      </c>
      <c r="AG73" s="6"/>
      <c r="AH73" s="6"/>
      <c r="AI73" s="6"/>
      <c r="AJ73" s="6"/>
      <c r="AK73" s="6"/>
      <c r="AL73" s="15"/>
      <c r="AM73" s="6"/>
      <c r="AN73" s="6"/>
      <c r="AO73" s="6"/>
    </row>
    <row r="74" spans="1:41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5"/>
      <c r="Q74" s="56"/>
      <c r="R74" s="56"/>
      <c r="S74" s="56"/>
      <c r="T74" s="56"/>
      <c r="U74" s="56"/>
      <c r="V74" s="56"/>
      <c r="W74" s="56"/>
      <c r="X74" s="56"/>
      <c r="Y74" s="56"/>
      <c r="Z74" s="57"/>
      <c r="AA74" s="6"/>
      <c r="AB74" s="16"/>
      <c r="AC74" s="6"/>
      <c r="AD74" s="13" t="s">
        <v>156</v>
      </c>
      <c r="AE74" s="6"/>
      <c r="AF74" s="21">
        <v>1150830</v>
      </c>
      <c r="AG74" s="6"/>
      <c r="AH74" s="6"/>
      <c r="AI74" s="6"/>
      <c r="AJ74" s="6"/>
      <c r="AK74" s="6"/>
      <c r="AL74" s="15"/>
      <c r="AM74" s="6"/>
      <c r="AN74" s="6"/>
      <c r="AO74" s="6"/>
    </row>
    <row r="75" spans="1:41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AA75" s="6"/>
      <c r="AB75" s="16"/>
      <c r="AC75" s="6"/>
      <c r="AD75" s="13" t="s">
        <v>157</v>
      </c>
      <c r="AE75" s="6"/>
      <c r="AF75" s="21">
        <v>230166</v>
      </c>
      <c r="AG75" s="6"/>
      <c r="AH75" s="6"/>
      <c r="AI75" s="6"/>
      <c r="AJ75" s="6"/>
      <c r="AK75" s="6"/>
      <c r="AL75" s="15"/>
      <c r="AM75" s="6"/>
      <c r="AN75" s="6"/>
      <c r="AO75" s="6"/>
    </row>
    <row r="76" spans="1:41" ht="14.25">
      <c r="A76" s="6"/>
      <c r="B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16"/>
      <c r="AC76" s="6"/>
      <c r="AG76" s="6"/>
      <c r="AH76" s="6"/>
      <c r="AI76" s="6"/>
      <c r="AJ76" s="6"/>
      <c r="AK76" s="6"/>
      <c r="AL76" s="15"/>
      <c r="AM76" s="6"/>
      <c r="AN76" s="6"/>
      <c r="AO76" s="6"/>
    </row>
    <row r="77" spans="1:41">
      <c r="A77" s="6"/>
      <c r="B77" s="6"/>
      <c r="C77" s="1"/>
      <c r="D77" s="1"/>
      <c r="E77" s="1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16"/>
      <c r="AC77" s="6"/>
      <c r="AD77" s="58" t="s">
        <v>160</v>
      </c>
      <c r="AE77" s="59"/>
      <c r="AF77" s="60">
        <f>AF74-AF75</f>
        <v>920664</v>
      </c>
      <c r="AG77" s="6"/>
      <c r="AH77" s="6"/>
      <c r="AI77" s="6"/>
      <c r="AJ77" s="6"/>
      <c r="AK77" s="6"/>
      <c r="AL77" s="15"/>
      <c r="AM77" s="6"/>
      <c r="AN77" s="6"/>
      <c r="AO77" s="6"/>
    </row>
    <row r="78" spans="1:41" ht="14.25">
      <c r="A78" s="6"/>
      <c r="B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55"/>
      <c r="AC78" s="56"/>
      <c r="AD78" s="56"/>
      <c r="AE78" s="56"/>
      <c r="AF78" s="56"/>
      <c r="AG78" s="56"/>
      <c r="AH78" s="56"/>
      <c r="AI78" s="56"/>
      <c r="AJ78" s="56"/>
      <c r="AK78" s="56"/>
      <c r="AL78" s="57"/>
      <c r="AM78" s="6"/>
      <c r="AN78" s="6"/>
      <c r="AO78" s="6"/>
    </row>
    <row r="79" spans="1:41" ht="14.25">
      <c r="A79" s="6"/>
      <c r="B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M79" s="6"/>
      <c r="AN79" s="6"/>
      <c r="AO79" s="6"/>
    </row>
    <row r="80" spans="1:41" ht="14.25">
      <c r="A80" s="6"/>
      <c r="B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14.25">
      <c r="A81" s="6"/>
      <c r="B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14.25">
      <c r="A82" s="6"/>
      <c r="B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14.25">
      <c r="A83" s="6"/>
      <c r="B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14.25">
      <c r="A84" s="6"/>
      <c r="B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14.25">
      <c r="A85" s="6"/>
      <c r="B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14.25">
      <c r="A86" s="6"/>
      <c r="B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14.25">
      <c r="A87" s="6"/>
      <c r="B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14.25">
      <c r="A88" s="6"/>
      <c r="B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14.25">
      <c r="A89" s="6"/>
      <c r="B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14.25">
      <c r="A90" s="6"/>
      <c r="B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14.25">
      <c r="A91" s="6"/>
      <c r="B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14.25">
      <c r="A92" s="6"/>
      <c r="B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14.25">
      <c r="A93" s="6"/>
      <c r="B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14.25">
      <c r="A94" s="6"/>
      <c r="B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14.25">
      <c r="A95" s="6"/>
      <c r="B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14.25">
      <c r="A96" s="6"/>
      <c r="B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14.25">
      <c r="A97" s="6"/>
      <c r="B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14.25">
      <c r="A98" s="6"/>
      <c r="B98" s="6"/>
      <c r="N98" s="6"/>
      <c r="O98" s="6"/>
      <c r="P98" s="6"/>
      <c r="Q98" s="6"/>
      <c r="R98" s="6"/>
      <c r="S98" s="6"/>
      <c r="T98" s="6"/>
      <c r="U98" s="6"/>
      <c r="V98" s="6" t="s">
        <v>35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14.25">
      <c r="A99" s="6"/>
      <c r="B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14.25">
      <c r="A100" s="6"/>
      <c r="B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14.25">
      <c r="A101" s="6"/>
      <c r="B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14.25">
      <c r="A102" s="6"/>
      <c r="B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14.25">
      <c r="A103" s="6"/>
      <c r="B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14.25">
      <c r="A104" s="6"/>
      <c r="B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14.25">
      <c r="A105" s="6"/>
      <c r="B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14.25">
      <c r="A106" s="6"/>
      <c r="B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14.25">
      <c r="A107" s="6"/>
      <c r="B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14.25">
      <c r="A108" s="6"/>
      <c r="B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14.25">
      <c r="A109" s="6"/>
      <c r="B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14.25">
      <c r="A110" s="6"/>
      <c r="B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14.25">
      <c r="A111" s="6"/>
      <c r="B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14.25">
      <c r="A112" s="6"/>
      <c r="B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14.25">
      <c r="A113" s="6"/>
      <c r="B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14.25">
      <c r="A114" s="6"/>
      <c r="B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4.25">
      <c r="A115" s="6"/>
      <c r="B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4.25">
      <c r="A116" s="6"/>
      <c r="B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4.25">
      <c r="A117" s="6"/>
      <c r="B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4.25">
      <c r="A118" s="6"/>
      <c r="B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4.25">
      <c r="A119" s="6"/>
      <c r="B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4.25">
      <c r="A120" s="6"/>
      <c r="B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4.25">
      <c r="A121" s="6"/>
      <c r="B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4.25">
      <c r="A122" s="6"/>
      <c r="B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4.25">
      <c r="A123" s="6"/>
      <c r="B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4.25">
      <c r="A124" s="6"/>
      <c r="B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4.25">
      <c r="A125" s="6"/>
      <c r="B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4.25">
      <c r="A126" s="6"/>
      <c r="B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4.25">
      <c r="A127" s="6"/>
      <c r="B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4.25">
      <c r="A128" s="6"/>
      <c r="B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4.25">
      <c r="A129" s="6"/>
      <c r="B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4.25">
      <c r="A130" s="6"/>
      <c r="B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14.25">
      <c r="A131" s="6"/>
      <c r="B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14.25">
      <c r="A132" s="6"/>
      <c r="B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14.25">
      <c r="A133" s="6"/>
      <c r="B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14.25">
      <c r="A134" s="6"/>
      <c r="B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14.25">
      <c r="A135" s="6"/>
      <c r="B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14.25">
      <c r="A136" s="6"/>
      <c r="B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14.25">
      <c r="A137" s="6"/>
      <c r="B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14.25">
      <c r="A138" s="6"/>
      <c r="B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4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4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4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4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4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4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4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4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4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4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4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4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4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4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4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4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4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4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4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4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4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4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4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4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4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4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4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4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4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4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4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4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4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4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4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4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4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4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4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4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4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4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4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4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4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4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4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4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4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4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4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4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4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4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4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4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4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4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4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4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4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4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4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4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4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4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4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4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4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4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4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4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4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4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4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4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4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4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4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14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14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14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14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14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14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14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14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14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14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14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14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14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14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14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14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4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4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4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4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4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4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4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4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4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4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4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4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4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4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4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4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4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4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4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4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4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4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4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4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4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4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4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4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4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4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4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4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4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4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4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4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4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4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4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4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4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4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4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4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4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4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4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4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4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4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4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4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4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4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4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4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4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4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4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4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4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4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4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4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4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4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4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4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4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4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4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4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4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4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4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4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4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4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4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4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4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4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4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4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4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4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4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4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4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4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4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4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4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4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4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4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4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4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4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4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4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4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4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4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4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4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4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4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4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4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4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4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4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4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4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4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4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4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4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4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4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4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4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4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4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4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4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4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4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4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4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4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4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4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4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4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4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4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4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4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4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4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4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4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4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4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4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4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4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4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4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4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4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4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4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4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4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4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4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4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4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4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4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4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4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4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4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4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4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4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4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4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4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4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4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4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4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4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4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4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4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4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4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4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4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4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4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4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4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4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4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4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4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4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4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4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4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4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4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4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4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4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4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4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4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4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4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4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4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4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4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4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4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4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4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4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4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4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4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4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4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4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4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4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4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4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4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4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4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4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4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4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4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4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4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4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4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4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4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4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4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4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4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4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4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4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4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4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4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4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4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4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4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4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4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4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4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4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4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4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4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4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4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4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4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4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4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4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4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4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4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4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4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4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4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4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4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4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4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4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4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4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4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4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4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4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4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4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4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4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4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4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4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4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4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4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4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4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4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4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4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4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4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4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4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4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4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4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4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4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4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4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4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4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4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4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4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4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4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4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4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4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4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4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4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4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4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14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14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14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14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14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14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14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14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14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14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14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14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14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14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14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14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14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14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14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14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14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14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14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14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14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14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14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14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14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14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14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14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14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14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14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14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14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14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14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14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14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14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14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14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14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14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14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14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14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14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14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14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14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14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14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14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14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14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14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14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14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14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14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14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14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14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14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14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14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14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14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14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14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14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14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14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14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14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14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14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14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14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14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14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14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14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14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14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14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14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14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14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14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14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14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14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14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14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14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14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14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14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14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14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14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14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14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14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14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14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14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14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14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14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14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14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14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14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14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14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14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14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14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14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14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14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14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14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14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14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14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14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14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14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14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14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14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14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14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14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14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14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14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14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14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14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14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14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14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14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14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14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14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14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14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14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14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14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14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14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14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14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14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14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14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14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14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14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14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14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14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14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14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14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14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14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14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14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14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14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14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14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14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14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14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14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14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14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14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14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14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14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14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14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14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14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14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14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14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14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14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14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14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14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14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14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14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14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14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14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14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14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14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14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14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14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14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14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14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14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14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14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14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14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14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14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14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14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14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14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14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14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14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14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14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14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14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14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14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14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14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14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14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14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14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14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14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14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14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14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14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14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14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14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14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14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14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14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14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14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14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14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14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14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14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14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14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14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14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14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14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14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14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14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14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14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14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14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14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14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14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14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14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14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14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14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14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14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14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14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14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14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14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14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14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14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14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14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14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14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14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14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14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14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14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14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14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14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14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14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14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14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14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14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14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14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14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14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14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14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14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14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14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14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14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14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14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14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14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14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14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14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14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14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14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14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14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14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14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14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14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14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14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14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14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14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14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14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14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14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14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14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14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14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14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14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14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14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14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14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14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14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14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14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14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14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14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14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14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14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14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14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14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14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14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14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14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14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ht="14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ht="14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ht="14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ht="14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ht="14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ht="14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ht="14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ht="14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ht="14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ht="14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ht="14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ht="14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ht="14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ht="14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ht="14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ht="14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ht="14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ht="14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ht="14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ht="14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ht="14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ht="14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ht="14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ht="14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ht="14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ht="14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ht="14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ht="14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ht="14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ht="14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ht="14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ht="14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ht="14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ht="14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ht="14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ht="14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ht="14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ht="14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ht="14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ht="14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ht="14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ht="14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ht="14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ht="14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ht="14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ht="14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ht="14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ht="14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ht="14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ht="14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ht="14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ht="14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ht="14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ht="14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ht="14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ht="14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ht="14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ht="14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ht="14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ht="14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1:41" ht="14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1:41" ht="14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  <row r="1001" spans="1:41" ht="14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</row>
    <row r="1002" spans="1:41" ht="14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spans="1:41" ht="14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</row>
    <row r="1004" spans="1:41" ht="14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</row>
    <row r="1005" spans="1:41" ht="14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</row>
    <row r="1006" spans="1:41" ht="14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</row>
    <row r="1007" spans="1:41" ht="14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</row>
    <row r="1008" spans="1:41" ht="14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</row>
    <row r="1009" spans="1:41" ht="14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</row>
    <row r="1010" spans="1:41" ht="14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</row>
    <row r="1011" spans="1:41" ht="14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</row>
    <row r="1012" spans="1:41" ht="14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</row>
    <row r="1013" spans="1:41" ht="14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</row>
    <row r="1014" spans="1:41" ht="14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Capital Outlay</vt:lpstr>
      <vt:lpstr>Year 1 - 3 Financial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lytning jake</cp:lastModifiedBy>
  <dcterms:modified xsi:type="dcterms:W3CDTF">2026-03-22T08:31:08Z</dcterms:modified>
</cp:coreProperties>
</file>